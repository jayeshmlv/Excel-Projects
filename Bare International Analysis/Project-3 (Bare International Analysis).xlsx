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jayesh\Desktop\Excel CoachX\Projects\"/>
    </mc:Choice>
  </mc:AlternateContent>
  <xr:revisionPtr revIDLastSave="0" documentId="13_ncr:1_{2BF766CC-9353-4360-B4B3-1F031C93AD27}" xr6:coauthVersionLast="47" xr6:coauthVersionMax="47" xr10:uidLastSave="{00000000-0000-0000-0000-000000000000}"/>
  <bookViews>
    <workbookView xWindow="-108" yWindow="-108" windowWidth="23256" windowHeight="12456" tabRatio="699" xr2:uid="{00000000-000D-0000-FFFF-FFFF00000000}"/>
  </bookViews>
  <sheets>
    <sheet name="CX_Junior BI Analyst_Test" sheetId="2" r:id="rId1"/>
    <sheet name="Pivot Table" sheetId="8" r:id="rId2"/>
    <sheet name="Heatmap Criteria" sheetId="11" r:id="rId3"/>
  </sheets>
  <calcPr calcId="191029"/>
  <pivotCaches>
    <pivotCache cacheId="14"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11" l="1"/>
  <c r="G16" i="11"/>
  <c r="G10" i="11"/>
  <c r="G15" i="11"/>
  <c r="G14" i="11"/>
  <c r="G13" i="11"/>
  <c r="G12" i="11"/>
  <c r="G11" i="11"/>
  <c r="CE62" i="2"/>
  <c r="CE61" i="2"/>
  <c r="CE60" i="2"/>
  <c r="CE59" i="2"/>
  <c r="CE58" i="2"/>
  <c r="CE57" i="2"/>
  <c r="CE56" i="2"/>
  <c r="CE55" i="2"/>
  <c r="CE54" i="2"/>
  <c r="CE53" i="2"/>
  <c r="CE52" i="2"/>
  <c r="CE51" i="2"/>
  <c r="CE50" i="2"/>
  <c r="CE49" i="2"/>
  <c r="CE48" i="2"/>
  <c r="CE47" i="2"/>
  <c r="CE46" i="2"/>
  <c r="CE45" i="2"/>
  <c r="CE44" i="2"/>
  <c r="CE43" i="2"/>
  <c r="CE42" i="2"/>
  <c r="CE41" i="2"/>
  <c r="CE40" i="2"/>
  <c r="CE39" i="2"/>
  <c r="CE38" i="2"/>
  <c r="CE37" i="2"/>
  <c r="CE36" i="2"/>
  <c r="CE35" i="2"/>
  <c r="CE34" i="2"/>
  <c r="CE33" i="2"/>
  <c r="CE32" i="2"/>
  <c r="CE31" i="2"/>
  <c r="CE30" i="2"/>
  <c r="CE29" i="2"/>
  <c r="CE28" i="2"/>
  <c r="CE27" i="2"/>
  <c r="CE26" i="2"/>
  <c r="CE25" i="2"/>
  <c r="CE24" i="2"/>
  <c r="CE23" i="2"/>
  <c r="CE22" i="2"/>
  <c r="CE21" i="2"/>
  <c r="CE20" i="2"/>
  <c r="CE19" i="2"/>
  <c r="CE18" i="2"/>
  <c r="CE17" i="2"/>
  <c r="CE16" i="2"/>
  <c r="CE15" i="2"/>
  <c r="CE14" i="2"/>
  <c r="CE13" i="2"/>
  <c r="CE12" i="2"/>
  <c r="CE11" i="2"/>
  <c r="CE10" i="2"/>
  <c r="CE9" i="2"/>
  <c r="CE8" i="2"/>
  <c r="CE7" i="2"/>
  <c r="CE6" i="2"/>
  <c r="CE5" i="2"/>
  <c r="CE4" i="2"/>
  <c r="CE3" i="2"/>
  <c r="CE2" i="2"/>
</calcChain>
</file>

<file path=xl/sharedStrings.xml><?xml version="1.0" encoding="utf-8"?>
<sst xmlns="http://schemas.openxmlformats.org/spreadsheetml/2006/main" count="3951" uniqueCount="796">
  <si>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</si>
  <si>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</si>
  <si>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</si>
  <si>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</si>
  <si>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</si>
  <si>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</si>
  <si>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</si>
  <si>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</si>
  <si>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</si>
  <si>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</si>
  <si>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</si>
  <si>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</si>
  <si>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</si>
  <si>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</si>
  <si>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</si>
  <si>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</si>
  <si>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</si>
  <si>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</si>
  <si>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</si>
  <si>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</si>
  <si>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</si>
  <si>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</si>
  <si>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</si>
  <si>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</si>
  <si>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</si>
  <si>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</si>
  <si>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</si>
  <si>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</si>
  <si>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</si>
  <si>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</si>
  <si>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</si>
  <si>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</si>
  <si>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</si>
  <si>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</si>
  <si>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</si>
  <si>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</si>
  <si>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</si>
  <si>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</si>
  <si>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</si>
  <si>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</si>
  <si>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</si>
  <si>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</si>
  <si>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</si>
  <si>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</si>
  <si>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</si>
  <si>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</si>
  <si>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</si>
  <si>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</si>
  <si>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</si>
  <si>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</si>
  <si>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</si>
  <si>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</si>
  <si>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</si>
  <si>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</si>
  <si>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</si>
  <si>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</si>
  <si>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</si>
  <si>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</si>
  <si>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</si>
  <si>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</si>
  <si>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</si>
  <si>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</si>
  <si>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</si>
  <si>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</si>
  <si>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</si>
  <si>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</si>
  <si>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</si>
  <si>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</si>
  <si>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</si>
  <si>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</si>
  <si>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</si>
  <si>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</si>
  <si>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</si>
  <si>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</si>
  <si>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</si>
  <si>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</si>
  <si>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</si>
  <si>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</si>
  <si>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</si>
  <si>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</si>
  <si>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</si>
  <si>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</si>
  <si>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</si>
  <si>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</si>
  <si>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</si>
  <si>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</si>
  <si>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</si>
  <si>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</si>
  <si>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</si>
  <si>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</si>
  <si>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</si>
  <si>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</si>
  <si>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</si>
  <si>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</si>
  <si>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</si>
  <si>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</si>
  <si>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</si>
  <si>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</si>
  <si>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</si>
  <si>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</si>
  <si>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</si>
  <si>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</si>
  <si>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</si>
  <si>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</si>
  <si>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</si>
  <si>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</si>
  <si>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</si>
  <si>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</si>
  <si>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</si>
  <si>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</si>
  <si>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</si>
  <si>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</si>
  <si>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</si>
  <si>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</si>
  <si>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</si>
  <si>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</si>
  <si>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</si>
  <si>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</si>
  <si>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</si>
  <si>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</si>
  <si>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</si>
  <si>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</si>
  <si>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</si>
  <si>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</si>
  <si>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</si>
  <si>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</si>
  <si>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</si>
  <si>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</si>
  <si>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</si>
  <si>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</si>
  <si>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</si>
  <si>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</si>
  <si>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</si>
  <si>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</si>
  <si>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</si>
  <si>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</si>
  <si>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</si>
  <si>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</si>
  <si>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</si>
  <si>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</si>
  <si>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</si>
  <si>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</si>
  <si>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</si>
  <si>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</si>
  <si>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</si>
  <si>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</si>
  <si>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</si>
  <si>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</si>
  <si>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</si>
  <si>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</si>
  <si>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</si>
  <si>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</si>
  <si>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</si>
  <si>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</si>
  <si>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</si>
  <si>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</si>
  <si>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</si>
  <si>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</si>
  <si>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</si>
  <si>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</si>
  <si>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</si>
  <si>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</si>
  <si>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</si>
  <si>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</si>
  <si>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</si>
  <si>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</si>
  <si>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</si>
  <si>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</si>
  <si>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</si>
  <si>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</si>
  <si>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</si>
  <si>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</si>
  <si>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</si>
  <si>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</si>
  <si>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</si>
  <si>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</si>
  <si>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</si>
  <si>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</si>
  <si>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</si>
  <si>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</si>
  <si>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</si>
  <si>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</si>
  <si>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</si>
  <si>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</si>
  <si>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</si>
  <si>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</si>
  <si>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</si>
  <si>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</si>
  <si>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</si>
  <si>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</si>
  <si>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</si>
  <si>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</si>
  <si>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</si>
  <si>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</si>
  <si>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</si>
  <si>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</si>
  <si>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</si>
  <si>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</si>
  <si>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</si>
  <si>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</si>
  <si>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</si>
  <si>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</si>
  <si>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</si>
  <si>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</si>
  <si>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</si>
  <si>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</si>
  <si>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</si>
  <si>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</si>
  <si>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</si>
  <si>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</si>
  <si>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</si>
  <si>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</si>
  <si>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</si>
  <si>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</si>
  <si>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</si>
  <si>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</si>
  <si>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</si>
  <si>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</si>
  <si>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</si>
  <si>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</si>
  <si>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</si>
  <si>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</si>
  <si>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</si>
  <si>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</si>
  <si>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</si>
  <si>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</si>
  <si>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</si>
  <si>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</si>
  <si>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</si>
  <si>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</si>
  <si>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</si>
  <si>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</si>
  <si>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</si>
  <si>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</si>
  <si>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</si>
  <si>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</si>
  <si>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</si>
  <si>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</si>
  <si>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</si>
  <si>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</si>
  <si>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</si>
  <si>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</si>
  <si>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</si>
  <si>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</si>
  <si>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</si>
  <si>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</si>
  <si>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</si>
  <si>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</si>
  <si>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</si>
  <si>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</si>
  <si>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</si>
  <si>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</si>
  <si>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</si>
  <si>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</si>
  <si>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</si>
  <si>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</si>
  <si>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</si>
  <si>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</si>
  <si>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</si>
  <si>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</si>
  <si>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</si>
  <si>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</si>
  <si>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</si>
  <si>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</si>
  <si>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</si>
  <si>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</si>
  <si>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</si>
  <si>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</si>
  <si>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</si>
  <si>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</si>
  <si>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</si>
  <si>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</si>
  <si>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</si>
  <si>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</si>
  <si>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</si>
  <si>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</si>
  <si>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</si>
  <si>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</si>
  <si>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</si>
  <si>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</si>
  <si>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</si>
  <si>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</si>
  <si>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</si>
  <si>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</si>
  <si>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</si>
  <si>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</si>
  <si>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</si>
  <si>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</si>
  <si>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</si>
  <si>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</si>
  <si>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</si>
  <si>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</si>
  <si>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</si>
  <si>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</si>
  <si>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</si>
  <si>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</si>
  <si>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</si>
  <si>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</si>
  <si>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</si>
  <si>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</si>
  <si>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</si>
  <si>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</si>
  <si>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</si>
  <si>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</si>
  <si>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</si>
  <si>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</si>
  <si>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</si>
  <si>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</si>
  <si>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</si>
  <si>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</si>
  <si>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</si>
  <si>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</si>
  <si>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</si>
  <si>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</si>
  <si>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</si>
  <si>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</si>
  <si>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</si>
  <si>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</si>
  <si>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</si>
  <si>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</si>
  <si>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</si>
  <si>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</si>
  <si>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</si>
  <si>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</si>
  <si>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</si>
  <si>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</si>
  <si>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</si>
  <si>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</si>
  <si>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</si>
  <si>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</si>
  <si>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</si>
  <si>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</si>
  <si>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</si>
  <si>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</si>
  <si>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</si>
  <si>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</si>
  <si>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</si>
  <si>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</si>
  <si>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</si>
  <si>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</si>
  <si>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</si>
  <si>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</si>
  <si>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</si>
  <si>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</si>
  <si>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</si>
  <si>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</si>
  <si>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</si>
  <si>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</si>
  <si>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</si>
  <si>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</si>
  <si>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</si>
  <si>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</si>
  <si>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</si>
  <si>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</si>
  <si>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</si>
  <si>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</si>
  <si>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</si>
  <si>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</si>
  <si>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</si>
  <si>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</si>
  <si>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</si>
  <si>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</si>
  <si>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</si>
  <si>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</si>
  <si>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</si>
  <si>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</si>
  <si>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</si>
  <si>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</si>
  <si>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</si>
  <si>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</si>
  <si>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</si>
  <si>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</si>
  <si>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</si>
  <si>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</si>
  <si>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</si>
  <si>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</si>
  <si>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</si>
  <si>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</si>
  <si>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</si>
  <si>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</si>
  <si>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</si>
  <si>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</si>
  <si>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</si>
  <si>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</si>
  <si>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</si>
  <si>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</si>
  <si>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</si>
  <si>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</si>
  <si>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</si>
  <si>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</si>
  <si>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</si>
  <si>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</si>
  <si>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</si>
  <si>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</si>
  <si>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</si>
  <si>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</si>
  <si>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</si>
  <si>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</si>
  <si>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</si>
  <si>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</si>
  <si>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</si>
  <si>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</si>
  <si>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</si>
  <si>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</si>
  <si>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</si>
  <si>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</si>
  <si>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</si>
  <si>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</si>
  <si>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</si>
  <si>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</si>
  <si>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</si>
  <si>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</si>
  <si>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</si>
  <si>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</si>
  <si>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</si>
  <si>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</si>
  <si>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</si>
  <si>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</si>
  <si>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</si>
  <si>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</si>
  <si>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</si>
  <si>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</si>
  <si>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</si>
  <si>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</si>
  <si>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</si>
  <si>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</si>
  <si>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</si>
  <si>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</si>
  <si>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</si>
  <si>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</si>
  <si>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</si>
  <si>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</si>
  <si>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</si>
  <si>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</si>
  <si>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</si>
  <si>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</si>
  <si>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</si>
  <si>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</si>
  <si>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</si>
  <si>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</si>
  <si>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</si>
  <si>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</si>
  <si>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</si>
  <si>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</si>
  <si>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</si>
  <si>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</si>
  <si>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</si>
  <si>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</si>
  <si>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</si>
  <si>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</si>
  <si>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</si>
  <si>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</si>
  <si>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</si>
  <si>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</si>
  <si>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</si>
  <si>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</si>
  <si>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</si>
  <si>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</si>
  <si>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</si>
  <si>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</si>
  <si>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</si>
  <si>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</si>
  <si>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</si>
  <si>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</si>
  <si>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</si>
  <si>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</si>
  <si>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</si>
  <si>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</si>
  <si>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</si>
  <si>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</si>
  <si>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</si>
  <si>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</si>
  <si>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</si>
  <si>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</si>
  <si>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</si>
  <si>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</si>
  <si>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</si>
  <si>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</si>
  <si>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</si>
  <si>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</si>
  <si>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</si>
  <si>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</si>
  <si>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</si>
  <si>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</si>
  <si>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</si>
  <si>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</si>
  <si>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</si>
  <si>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</si>
  <si>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</si>
  <si>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</si>
  <si>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</si>
  <si>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</si>
  <si>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</si>
  <si>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</si>
  <si>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</si>
  <si>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</si>
  <si>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</si>
  <si>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</si>
  <si>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</si>
  <si>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</si>
  <si>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</si>
  <si>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</si>
  <si>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</si>
  <si>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</si>
  <si>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</si>
  <si>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</si>
  <si>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</si>
  <si>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</si>
  <si>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</si>
  <si>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</si>
  <si>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</si>
  <si>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</si>
  <si>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</si>
  <si>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</si>
  <si>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</si>
  <si>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</si>
  <si>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</si>
  <si>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</si>
  <si>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</si>
  <si>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</si>
  <si>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</si>
  <si>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</si>
  <si>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</si>
  <si>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</si>
  <si>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</si>
  <si>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</si>
  <si>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</si>
  <si>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</si>
  <si>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</si>
  <si>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</si>
  <si>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</si>
  <si>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</si>
  <si>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</si>
  <si>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</si>
  <si>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</si>
  <si>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</si>
  <si>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</si>
  <si>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</si>
  <si>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</si>
  <si>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</si>
  <si>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</si>
  <si>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</si>
  <si>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</si>
  <si>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</si>
  <si>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</si>
  <si>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</si>
  <si>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</si>
  <si>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</si>
  <si>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</si>
  <si>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</si>
  <si>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</si>
  <si>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</si>
  <si>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</si>
  <si>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</si>
  <si>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</si>
  <si>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</si>
  <si>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</si>
  <si>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</si>
  <si>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</si>
  <si>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</si>
  <si>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</si>
  <si>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</si>
  <si>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</si>
  <si>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</si>
  <si>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</si>
  <si>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</si>
  <si>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</si>
  <si>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</si>
  <si>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</si>
  <si>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</si>
  <si>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</si>
  <si>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</si>
  <si>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</si>
  <si>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</si>
  <si>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</si>
  <si>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</si>
  <si>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</si>
  <si>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</si>
  <si>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</si>
  <si>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</si>
  <si>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</si>
  <si>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</si>
  <si>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</si>
  <si>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</si>
  <si>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</si>
  <si>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</si>
  <si>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</si>
  <si>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</si>
  <si>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</si>
  <si>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</si>
  <si>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</si>
  <si>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</si>
  <si>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</si>
  <si>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</si>
  <si>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</si>
  <si>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</si>
  <si>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</si>
  <si>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</si>
  <si>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</si>
  <si>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</si>
  <si>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</si>
  <si>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</si>
  <si>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</si>
  <si>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</si>
  <si>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</si>
  <si>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</si>
  <si>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</si>
  <si>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</si>
  <si>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</si>
  <si>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</si>
  <si>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</si>
  <si>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</si>
  <si>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</si>
  <si>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</si>
  <si>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</si>
  <si>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</si>
  <si>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</si>
  <si>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</si>
  <si>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</si>
  <si>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</si>
  <si>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</si>
  <si>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</si>
  <si>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</si>
  <si>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</si>
  <si>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</si>
  <si>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</si>
  <si>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</si>
  <si>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</si>
  <si>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</si>
  <si>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</si>
  <si>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</si>
  <si>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</si>
  <si>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</si>
  <si>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</si>
  <si>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</si>
  <si>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</si>
  <si>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</si>
  <si>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</si>
  <si>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</si>
  <si>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</si>
  <si>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</si>
  <si>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</si>
  <si>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</si>
  <si>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</si>
  <si>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</si>
  <si>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</si>
  <si>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</si>
  <si>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</si>
  <si>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</si>
  <si>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</si>
  <si>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</si>
  <si>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</si>
  <si>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</si>
  <si>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</si>
  <si>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</si>
  <si>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</si>
  <si>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</si>
  <si>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</si>
  <si>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</si>
  <si>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</si>
  <si>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</si>
  <si>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</si>
  <si>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</si>
  <si>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</si>
  <si>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</si>
  <si>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</si>
  <si>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</si>
  <si>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</si>
  <si>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</si>
  <si>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</si>
  <si>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</si>
  <si>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</si>
  <si>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</si>
  <si>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</si>
  <si>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</si>
  <si>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</si>
  <si>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</si>
  <si>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</si>
  <si>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</si>
  <si>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</si>
  <si>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</si>
  <si>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</si>
  <si>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</si>
  <si>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</si>
  <si>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</si>
  <si>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</si>
  <si>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</si>
  <si>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</si>
  <si>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</si>
  <si>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</si>
  <si>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</si>
  <si>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</si>
  <si>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</si>
  <si>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</si>
  <si>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</si>
  <si>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</si>
  <si>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</si>
  <si>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</si>
  <si>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</si>
  <si>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</si>
  <si>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</si>
  <si>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</si>
  <si>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</si>
  <si>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</si>
  <si>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</si>
  <si>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</si>
  <si>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</si>
  <si>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</si>
  <si>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</si>
  <si>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</si>
  <si>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</si>
  <si>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</si>
  <si>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</si>
  <si>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</si>
  <si>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</si>
  <si>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</si>
  <si>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</si>
  <si>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</si>
  <si>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</si>
  <si>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</si>
  <si>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</si>
  <si>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</si>
  <si>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</si>
  <si>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</si>
  <si>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</si>
  <si>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</si>
  <si>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</si>
  <si>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</si>
  <si>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</si>
  <si>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</si>
  <si>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</si>
  <si>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</si>
  <si>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</si>
  <si>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</si>
  <si>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</si>
  <si>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</si>
  <si>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</si>
  <si>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</si>
  <si>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</si>
  <si>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</si>
  <si>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</si>
  <si>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</si>
  <si>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</si>
  <si>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</si>
  <si>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</si>
  <si>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</si>
  <si>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</si>
  <si>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</si>
  <si>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</si>
  <si>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</si>
  <si>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</si>
  <si>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</si>
  <si>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</si>
  <si>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</si>
  <si>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</si>
  <si>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</si>
  <si>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</si>
  <si>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</si>
  <si>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</si>
  <si>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</si>
  <si>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</si>
  <si>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</si>
  <si>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</si>
  <si>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</si>
  <si>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</si>
  <si>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</si>
  <si>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</si>
  <si>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</si>
  <si>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</si>
  <si>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</si>
  <si>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</si>
  <si>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</si>
  <si>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</si>
  <si>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</si>
  <si>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</si>
  <si>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</si>
  <si>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</si>
  <si>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</si>
  <si>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</si>
  <si>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</si>
  <si>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</si>
  <si>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</si>
  <si>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</si>
  <si>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</si>
  <si>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</si>
  <si>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Performance_grade</t>
  </si>
  <si>
    <t>Average Evaluation Score</t>
  </si>
  <si>
    <t>Criteria</t>
  </si>
  <si>
    <t>Average Score</t>
  </si>
  <si>
    <t>Store Ambiance</t>
  </si>
  <si>
    <t>First Impressions</t>
  </si>
  <si>
    <t>Discovery</t>
  </si>
  <si>
    <t>Recommendations</t>
  </si>
  <si>
    <t>Trial Experience &amp; Upsell</t>
  </si>
  <si>
    <t>Objection Handling</t>
  </si>
  <si>
    <t>Closure &amp;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</si>
</sst>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0" fillId="0" borderId="1" xfId="0" applyBorder="1" applyAlignment="1">
      <alignment horizont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0" fontId="0" fillId="0" borderId="0" xfId="0" applyNumberFormat="1"/>
    <xf numFmtId="2" fontId="0" fillId="0" borderId="0" xfId="0" applyNumberFormat="1"/>
    <xf numFmtId="0" fontId="0" fillId="0" borderId="2" xfId="0" applyBorder="1" applyAlignment="1">
      <alignment horizontal="center"/>
    </xf>
    <xf numFmtId="0" fontId="0" fillId="0" borderId="3" xfId="0"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xf numFmtId="2" fontId="0" fillId="0" borderId="1" xfId="0" applyNumberFormat="1" applyBorder="1"/>
    <xf numFmtId="0" fontId="2" fillId="3" borderId="1" xfId="0" applyFont="1" applyFill="1" applyBorder="1" applyAlignment="1">
      <alignment horizontal="center" vertical="center"/>
    </xf>
  </cellXfs>
  <cellStyles count="1">
    <cellStyle name="Normal" xfId="0" builtinId="0"/>
  </cellStyles>
  <dxfs count="88">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(Bare International Analysis).xlsx]Pivot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Zone</a:t>
            </a:r>
            <a:r>
              <a:rPr lang="en-US" b="1" baseline="0"/>
              <a:t> wise </a:t>
            </a:r>
            <a:r>
              <a:rPr lang="en-US" b="1"/>
              <a:t>Percentage</a:t>
            </a:r>
            <a:r>
              <a:rPr lang="en-US" b="1" baseline="0"/>
              <a:t> of </a:t>
            </a:r>
            <a:r>
              <a:rPr lang="en-US" b="1"/>
              <a:t>High Performers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Table'!$C$3:$C$4</c:f>
              <c:strCache>
                <c:ptCount val="1"/>
                <c:pt idx="0">
                  <c:v>High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Table'!$B$5:$B$9</c:f>
              <c:strCache>
                <c:ptCount val="4"/>
                <c:pt idx="0">
                  <c:v>East</c:v>
                </c:pt>
                <c:pt idx="1">
                  <c:v>North</c:v>
                </c:pt>
                <c:pt idx="2">
                  <c:v>South</c:v>
                </c:pt>
                <c:pt idx="3">
                  <c:v>West</c:v>
                </c:pt>
              </c:strCache>
            </c:strRef>
          </c:cat>
          <c:val>
            <c:numRef>
              <c:f>'Pivot Table'!$C$5:$C$9</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E817-49A4-89EB-91A4B2925938}"/>
            </c:ext>
          </c:extLst>
        </c:ser>
        <c:ser>
          <c:idx val="1"/>
          <c:order val="1"/>
          <c:tx>
            <c:strRef>
              <c:f>'Pivot Table'!$D$3:$D$4</c:f>
              <c:strCache>
                <c:ptCount val="1"/>
                <c:pt idx="0">
                  <c:v>Average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Table'!$B$5:$B$9</c:f>
              <c:strCache>
                <c:ptCount val="4"/>
                <c:pt idx="0">
                  <c:v>East</c:v>
                </c:pt>
                <c:pt idx="1">
                  <c:v>North</c:v>
                </c:pt>
                <c:pt idx="2">
                  <c:v>South</c:v>
                </c:pt>
                <c:pt idx="3">
                  <c:v>West</c:v>
                </c:pt>
              </c:strCache>
            </c:strRef>
          </c:cat>
          <c:val>
            <c:numRef>
              <c:f>'Pivot Table'!$D$5:$D$9</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5-E817-49A4-89EB-91A4B2925938}"/>
            </c:ext>
          </c:extLst>
        </c:ser>
        <c:ser>
          <c:idx val="2"/>
          <c:order val="2"/>
          <c:tx>
            <c:strRef>
              <c:f>'Pivot Table'!$E$3:$E$4</c:f>
              <c:strCache>
                <c:ptCount val="1"/>
                <c:pt idx="0">
                  <c:v>Bottom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Table'!$B$5:$B$9</c:f>
              <c:strCache>
                <c:ptCount val="4"/>
                <c:pt idx="0">
                  <c:v>East</c:v>
                </c:pt>
                <c:pt idx="1">
                  <c:v>North</c:v>
                </c:pt>
                <c:pt idx="2">
                  <c:v>South</c:v>
                </c:pt>
                <c:pt idx="3">
                  <c:v>West</c:v>
                </c:pt>
              </c:strCache>
            </c:strRef>
          </c:cat>
          <c:val>
            <c:numRef>
              <c:f>'Pivot Table'!$E$5:$E$9</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6-E817-49A4-89EB-91A4B2925938}"/>
            </c:ext>
          </c:extLst>
        </c:ser>
        <c:ser>
          <c:idx val="3"/>
          <c:order val="3"/>
          <c:tx>
            <c:strRef>
              <c:f>'Pivot Table'!$F$3:$F$4</c:f>
              <c:strCache>
                <c:ptCount val="1"/>
                <c:pt idx="0">
                  <c:v>Low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Table'!$B$5:$B$9</c:f>
              <c:strCache>
                <c:ptCount val="4"/>
                <c:pt idx="0">
                  <c:v>East</c:v>
                </c:pt>
                <c:pt idx="1">
                  <c:v>North</c:v>
                </c:pt>
                <c:pt idx="2">
                  <c:v>South</c:v>
                </c:pt>
                <c:pt idx="3">
                  <c:v>West</c:v>
                </c:pt>
              </c:strCache>
            </c:strRef>
          </c:cat>
          <c:val>
            <c:numRef>
              <c:f>'Pivot Table'!$F$5:$F$9</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7-E817-49A4-89EB-91A4B292593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(Bare International 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Zone</a:t>
            </a:r>
            <a:r>
              <a:rPr lang="en-US" b="1" baseline="0"/>
              <a:t> wise Avg Evaluation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Table'!$B$23:$B$27</c:f>
              <c:strCache>
                <c:ptCount val="4"/>
                <c:pt idx="0">
                  <c:v>East</c:v>
                </c:pt>
                <c:pt idx="1">
                  <c:v>North</c:v>
                </c:pt>
                <c:pt idx="2">
                  <c:v>South</c:v>
                </c:pt>
                <c:pt idx="3">
                  <c:v>West</c:v>
                </c:pt>
              </c:strCache>
            </c:strRef>
          </c:cat>
          <c:val>
            <c:numRef>
              <c:f>'Pivot Table'!$C$23:$C$27</c:f>
              <c:numCache>
                <c:formatCode>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2809-4848-A62A-6DE46BBB55C9}"/>
            </c:ext>
          </c:extLst>
        </c:ser>
        <c:dLbls>
          <c:dLblPos val="outEnd"/>
          <c:showLegendKey val="0"/>
          <c:showVal val="1"/>
          <c:showCatName val="0"/>
          <c:showSerName val="0"/>
          <c:showPercent val="0"/>
          <c:showBubbleSize val="0"/>
        </c:dLbls>
        <c:gapWidth val="182"/>
        <c:axId val="1270907200"/>
        <c:axId val="1270910080"/>
      </c:barChart>
      <c:catAx>
        <c:axId val="127090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10080"/>
        <c:crosses val="autoZero"/>
        <c:auto val="1"/>
        <c:lblAlgn val="ctr"/>
        <c:lblOffset val="100"/>
        <c:noMultiLvlLbl val="0"/>
      </c:catAx>
      <c:valAx>
        <c:axId val="12709100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Averge Evaluation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27090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(Bare International 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Evaluation Score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headEnd type="none"/>
            <a:tailEnd type="none"/>
          </a:ln>
          <a:effectLst/>
        </c:spPr>
        <c:marker>
          <c:symbol val="none"/>
        </c:marker>
      </c:pivotFmt>
    </c:pivotFmts>
    <c:plotArea>
      <c:layout/>
      <c:lineChart>
        <c:grouping val="standard"/>
        <c:varyColors val="0"/>
        <c:ser>
          <c:idx val="0"/>
          <c:order val="0"/>
          <c:tx>
            <c:strRef>
              <c:f>'Pivot Table'!$B$46</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headEnd type="none"/>
                <a:tailEnd type="none"/>
              </a:ln>
              <a:effectLst/>
            </c:spPr>
            <c:extLst>
              <c:ext xmlns:c16="http://schemas.microsoft.com/office/drawing/2014/chart" uri="{C3380CC4-5D6E-409C-BE32-E72D297353CC}">
                <c16:uniqueId val="{00000002-5C93-4AD2-AEB9-EC658F8915F6}"/>
              </c:ext>
            </c:extLst>
          </c:dPt>
          <c:cat>
            <c:strRef>
              <c:f>'Pivot Table'!$A$47:$A$69</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'Pivot Table'!$B$47:$B$69</c:f>
              <c:numCache>
                <c:formatCode>0.00</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5C93-4AD2-AEB9-EC658F8915F6}"/>
            </c:ext>
          </c:extLst>
        </c:ser>
        <c:dLbls>
          <c:showLegendKey val="0"/>
          <c:showVal val="0"/>
          <c:showCatName val="0"/>
          <c:showSerName val="0"/>
          <c:showPercent val="0"/>
          <c:showBubbleSize val="0"/>
        </c:dLbls>
        <c:smooth val="0"/>
        <c:axId val="1692961200"/>
        <c:axId val="1692958800"/>
      </c:lineChart>
      <c:catAx>
        <c:axId val="16929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958800"/>
        <c:crosses val="autoZero"/>
        <c:auto val="1"/>
        <c:lblAlgn val="ctr"/>
        <c:lblOffset val="100"/>
        <c:noMultiLvlLbl val="0"/>
      </c:catAx>
      <c:valAx>
        <c:axId val="1692958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961200"/>
        <c:crosses val="autoZero"/>
        <c:crossBetween val="between"/>
      </c:valAx>
      <c:spPr>
        <a:noFill/>
        <a:ln>
          <a:solidFill>
            <a:schemeClr val="tx1">
              <a:lumMod val="15000"/>
              <a:lumOff val="85000"/>
            </a:schemeClr>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(Bare International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High vs. Low Performers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Table'!$B$97:$B$98</c:f>
              <c:strCache>
                <c:ptCount val="1"/>
                <c:pt idx="0">
                  <c:v>High Performer</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Table'!$A$99:$A$103</c:f>
              <c:strCache>
                <c:ptCount val="4"/>
                <c:pt idx="0">
                  <c:v>East</c:v>
                </c:pt>
                <c:pt idx="1">
                  <c:v>North</c:v>
                </c:pt>
                <c:pt idx="2">
                  <c:v>South</c:v>
                </c:pt>
                <c:pt idx="3">
                  <c:v>West</c:v>
                </c:pt>
              </c:strCache>
            </c:strRef>
          </c:cat>
          <c:val>
            <c:numRef>
              <c:f>'Pivot Table'!$B$99:$B$103</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27B3-438C-B321-FBFBB21C2D6B}"/>
            </c:ext>
          </c:extLst>
        </c:ser>
        <c:ser>
          <c:idx val="1"/>
          <c:order val="1"/>
          <c:tx>
            <c:strRef>
              <c:f>'Pivot Table'!$C$97:$C$98</c:f>
              <c:strCache>
                <c:ptCount val="1"/>
                <c:pt idx="0">
                  <c:v>Low Performer</c:v>
                </c:pt>
              </c:strCache>
            </c:strRef>
          </c:tx>
          <c:spPr>
            <a:solidFill>
              <a:schemeClr val="accent2"/>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Table'!$A$99:$A$103</c:f>
              <c:strCache>
                <c:ptCount val="4"/>
                <c:pt idx="0">
                  <c:v>East</c:v>
                </c:pt>
                <c:pt idx="1">
                  <c:v>North</c:v>
                </c:pt>
                <c:pt idx="2">
                  <c:v>South</c:v>
                </c:pt>
                <c:pt idx="3">
                  <c:v>West</c:v>
                </c:pt>
              </c:strCache>
            </c:strRef>
          </c:cat>
          <c:val>
            <c:numRef>
              <c:f>'Pivot Table'!$C$99:$C$103</c:f>
              <c:numCache>
                <c:formatCode>General</c:formatCode>
                <c:ptCount val="4"/>
                <c:pt idx="0">
                  <c:v>3</c:v>
                </c:pt>
                <c:pt idx="1">
                  <c:v>5</c:v>
                </c:pt>
                <c:pt idx="2">
                  <c:v>6</c:v>
                </c:pt>
                <c:pt idx="3">
                  <c:v>2</c:v>
                </c:pt>
              </c:numCache>
            </c:numRef>
          </c:val>
          <c:extLst>
            <c:ext xmlns:c16="http://schemas.microsoft.com/office/drawing/2014/chart" uri="{C3380CC4-5D6E-409C-BE32-E72D297353CC}">
              <c16:uniqueId val="{00000001-27B3-438C-B321-FBFBB21C2D6B}"/>
            </c:ext>
          </c:extLst>
        </c:ser>
        <c:dLbls>
          <c:showLegendKey val="0"/>
          <c:showVal val="1"/>
          <c:showCatName val="0"/>
          <c:showSerName val="0"/>
          <c:showPercent val="0"/>
          <c:showBubbleSize val="0"/>
        </c:dLbls>
        <c:gapWidth val="150"/>
        <c:overlap val="100"/>
        <c:axId val="1692917040"/>
        <c:axId val="1692926640"/>
      </c:barChart>
      <c:catAx>
        <c:axId val="169291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926640"/>
        <c:crosses val="autoZero"/>
        <c:auto val="1"/>
        <c:lblAlgn val="ctr"/>
        <c:lblOffset val="100"/>
        <c:noMultiLvlLbl val="0"/>
      </c:catAx>
      <c:valAx>
        <c:axId val="1692926640"/>
        <c:scaling>
          <c:orientation val="minMax"/>
        </c:scaling>
        <c:delete val="1"/>
        <c:axPos val="b"/>
        <c:numFmt formatCode="General" sourceLinked="1"/>
        <c:majorTickMark val="none"/>
        <c:minorTickMark val="none"/>
        <c:tickLblPos val="nextTo"/>
        <c:crossAx val="16929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906780</xdr:colOff>
      <xdr:row>1</xdr:row>
      <xdr:rowOff>152400</xdr:rowOff>
    </xdr:from>
    <xdr:to>
      <xdr:col>10</xdr:col>
      <xdr:colOff>1752600</xdr:colOff>
      <xdr:row>16</xdr:row>
      <xdr:rowOff>99060</xdr:rowOff>
    </xdr:to>
    <xdr:graphicFrame macro="">
      <xdr:nvGraphicFramePr>
        <xdr:cNvPr id="3" name="Chart 2">
          <a:extLst>
            <a:ext uri="{FF2B5EF4-FFF2-40B4-BE49-F238E27FC236}">
              <a16:creationId xmlns:a16="http://schemas.microsoft.com/office/drawing/2014/main" id="{08E65F46-9F65-3A68-829C-0682E7370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845820</xdr:colOff>
      <xdr:row>20</xdr:row>
      <xdr:rowOff>15240</xdr:rowOff>
    </xdr:from>
    <xdr:to>
      <xdr:col>10</xdr:col>
      <xdr:colOff>152400</xdr:colOff>
      <xdr:row>35</xdr:row>
      <xdr:rowOff>15240</xdr:rowOff>
    </xdr:to>
    <xdr:graphicFrame macro="">
      <xdr:nvGraphicFramePr>
        <xdr:cNvPr id="4" name="Chart 3">
          <a:extLst>
            <a:ext uri="{FF2B5EF4-FFF2-40B4-BE49-F238E27FC236}">
              <a16:creationId xmlns:a16="http://schemas.microsoft.com/office/drawing/2014/main" id="{FA63C21B-1CB0-9373-C888-7C18FA678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1013460</xdr:colOff>
      <xdr:row>43</xdr:row>
      <xdr:rowOff>175260</xdr:rowOff>
    </xdr:from>
    <xdr:to>
      <xdr:col>8</xdr:col>
      <xdr:colOff>1005840</xdr:colOff>
      <xdr:row>58</xdr:row>
      <xdr:rowOff>175260</xdr:rowOff>
    </xdr:to>
    <xdr:graphicFrame macro="">
      <xdr:nvGraphicFramePr>
        <xdr:cNvPr id="7" name="Chart 6">
          <a:extLst>
            <a:ext uri="{FF2B5EF4-FFF2-40B4-BE49-F238E27FC236}">
              <a16:creationId xmlns:a16="http://schemas.microsoft.com/office/drawing/2014/main" id="{BCB28AA6-26D3-882B-FF7D-7DE376B6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95</xdr:row>
      <xdr:rowOff>175260</xdr:rowOff>
    </xdr:from>
    <xdr:to>
      <xdr:col>10</xdr:col>
      <xdr:colOff>426720</xdr:colOff>
      <xdr:row>110</xdr:row>
      <xdr:rowOff>175260</xdr:rowOff>
    </xdr:to>
    <xdr:graphicFrame macro="">
      <xdr:nvGraphicFramePr>
        <xdr:cNvPr id="8" name="Chart 7">
          <a:extLst>
            <a:ext uri="{FF2B5EF4-FFF2-40B4-BE49-F238E27FC236}">
              <a16:creationId xmlns:a16="http://schemas.microsoft.com/office/drawing/2014/main" id="{12E02DBC-6A2D-08E1-4CEB-A2A6C0021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ount="61">
        <n v="11078689"/>
        <n v="11083235"/>
        <n v="11083324"/>
        <n v="11083483"/>
        <n v="11083490"/>
        <n v="11083658"/>
        <n v="11083773"/>
        <n v="11083777"/>
        <n v="11083778"/>
        <n v="11083780"/>
        <n v="11083781"/>
        <n v="11083783"/>
        <n v="11083867"/>
        <n v="11083988"/>
        <n v="11084277"/>
        <n v="11084762"/>
        <n v="11084763"/>
        <n v="11084781"/>
        <n v="11084784"/>
        <n v="11084789"/>
        <n v="11084792"/>
        <n v="11084844"/>
        <n v="11084845"/>
        <n v="11084846"/>
        <n v="11084847"/>
        <n v="11084985"/>
        <n v="11085599"/>
        <n v="11085892"/>
        <n v="11085982"/>
        <n v="11086048"/>
        <n v="11086368"/>
        <n v="11086637"/>
        <n v="11087027"/>
        <n v="11087195"/>
        <n v="11090138"/>
        <n v="11095309"/>
        <n v="11095478"/>
        <n v="11095494"/>
        <n v="11095498"/>
        <n v="11095574"/>
        <n v="11095575"/>
        <n v="11095640"/>
        <n v="11095740"/>
        <n v="11095745"/>
        <n v="11095940"/>
        <n v="11095982"/>
        <n v="11096780"/>
        <n v="11096807"/>
        <n v="11097708"/>
        <n v="11097750"/>
        <n v="11097814"/>
        <n v="11098282"/>
        <n v="11099765"/>
        <n v="11099886"/>
        <n v="11106986"/>
        <n v="11107721"/>
        <n v="11108719"/>
        <n v="11108736"/>
        <n v="11108784"/>
        <n v="11108785"/>
        <n v="11108850"/>
      </sharedItems>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ount="38">
        <n v="58"/>
        <n v="86"/>
        <n v="72"/>
        <n v="84"/>
        <n v="90"/>
        <n v="36"/>
        <n v="34"/>
        <n v="74"/>
        <n v="70"/>
        <n v="78"/>
        <n v="61"/>
        <n v="89"/>
        <n v="65"/>
        <n v="76"/>
        <n v="82"/>
        <n v="88"/>
        <n v="71"/>
        <n v="67"/>
        <n v="60"/>
        <n v="81"/>
        <n v="92"/>
        <n v="59"/>
        <n v="33"/>
        <n v="64"/>
        <n v="69"/>
        <n v="83"/>
        <n v="94"/>
        <n v="80"/>
        <n v="73"/>
        <n v="39"/>
        <n v="100"/>
        <n v="52"/>
        <n v="62"/>
        <n v="41"/>
        <n v="96"/>
        <n v="53"/>
        <n v="77"/>
        <n v="35"/>
      </sharedItems>
    </cacheField>
    <cacheField name="STORE AMBIANCE" numFmtId="0">
      <sharedItems containsSemiMixedTypes="0" containsString="0" containsNumber="1" containsInteger="1" minValue="78" maxValue="100" count="3">
        <n v="100"/>
        <n v="89"/>
        <n v="78"/>
      </sharedItems>
    </cacheField>
    <cacheField name="FIRST IMPRESSIONS" numFmtId="0">
      <sharedItems containsSemiMixedTypes="0" containsString="0" containsNumber="1" containsInteger="1" minValue="33" maxValue="100" count="10">
        <n v="56"/>
        <n v="100"/>
        <n v="80"/>
        <n v="90"/>
        <n v="60"/>
        <n v="89"/>
        <n v="67"/>
        <n v="78"/>
        <n v="33"/>
        <n v="70"/>
      </sharedItems>
    </cacheField>
    <cacheField name="DISCOVERY" numFmtId="0">
      <sharedItems containsSemiMixedTypes="0" containsString="0" containsNumber="1" containsInteger="1" minValue="0" maxValue="100" count="6">
        <n v="80"/>
        <n v="100"/>
        <n v="0"/>
        <n v="40"/>
        <n v="60"/>
        <n v="20"/>
      </sharedItems>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x v="0"/>
    <x v="0"/>
    <x v="0"/>
    <x v="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x v="1"/>
    <x v="1"/>
    <x v="1"/>
    <x v="0"/>
    <x v="1"/>
    <x v="1"/>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x v="2"/>
    <x v="2"/>
    <x v="2"/>
    <x v="0"/>
    <x v="1"/>
    <x v="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x v="3"/>
    <x v="3"/>
    <x v="3"/>
    <x v="1"/>
    <x v="2"/>
    <x v="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x v="4"/>
    <x v="4"/>
    <x v="3"/>
    <x v="1"/>
    <x v="2"/>
    <x v="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x v="5"/>
    <x v="5"/>
    <x v="4"/>
    <x v="0"/>
    <x v="1"/>
    <x v="1"/>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x v="6"/>
    <x v="3"/>
    <x v="5"/>
    <x v="2"/>
    <x v="3"/>
    <x v="2"/>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x v="7"/>
    <x v="6"/>
    <x v="6"/>
    <x v="2"/>
    <x v="4"/>
    <x v="3"/>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x v="8"/>
    <x v="5"/>
    <x v="7"/>
    <x v="2"/>
    <x v="3"/>
    <x v="3"/>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x v="9"/>
    <x v="1"/>
    <x v="7"/>
    <x v="2"/>
    <x v="3"/>
    <x v="4"/>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x v="10"/>
    <x v="5"/>
    <x v="1"/>
    <x v="2"/>
    <x v="2"/>
    <x v="1"/>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x v="11"/>
    <x v="6"/>
    <x v="8"/>
    <x v="2"/>
    <x v="4"/>
    <x v="1"/>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x v="12"/>
    <x v="1"/>
    <x v="3"/>
    <x v="1"/>
    <x v="5"/>
    <x v="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x v="13"/>
    <x v="7"/>
    <x v="9"/>
    <x v="2"/>
    <x v="1"/>
    <x v="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x v="14"/>
    <x v="1"/>
    <x v="10"/>
    <x v="2"/>
    <x v="6"/>
    <x v="4"/>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x v="15"/>
    <x v="3"/>
    <x v="9"/>
    <x v="1"/>
    <x v="1"/>
    <x v="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x v="16"/>
    <x v="6"/>
    <x v="11"/>
    <x v="1"/>
    <x v="1"/>
    <x v="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x v="17"/>
    <x v="8"/>
    <x v="12"/>
    <x v="1"/>
    <x v="5"/>
    <x v="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x v="18"/>
    <x v="3"/>
    <x v="13"/>
    <x v="1"/>
    <x v="5"/>
    <x v="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x v="19"/>
    <x v="9"/>
    <x v="14"/>
    <x v="1"/>
    <x v="3"/>
    <x v="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x v="20"/>
    <x v="9"/>
    <x v="15"/>
    <x v="1"/>
    <x v="1"/>
    <x v="1"/>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x v="21"/>
    <x v="1"/>
    <x v="16"/>
    <x v="0"/>
    <x v="6"/>
    <x v="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x v="22"/>
    <x v="1"/>
    <x v="17"/>
    <x v="1"/>
    <x v="7"/>
    <x v="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x v="23"/>
    <x v="1"/>
    <x v="18"/>
    <x v="2"/>
    <x v="7"/>
    <x v="4"/>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x v="24"/>
    <x v="1"/>
    <x v="19"/>
    <x v="1"/>
    <x v="5"/>
    <x v="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x v="25"/>
    <x v="6"/>
    <x v="9"/>
    <x v="1"/>
    <x v="5"/>
    <x v="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x v="26"/>
    <x v="1"/>
    <x v="20"/>
    <x v="2"/>
    <x v="1"/>
    <x v="1"/>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x v="27"/>
    <x v="1"/>
    <x v="21"/>
    <x v="1"/>
    <x v="7"/>
    <x v="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x v="28"/>
    <x v="1"/>
    <x v="22"/>
    <x v="0"/>
    <x v="8"/>
    <x v="5"/>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x v="29"/>
    <x v="9"/>
    <x v="23"/>
    <x v="1"/>
    <x v="2"/>
    <x v="2"/>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x v="30"/>
    <x v="10"/>
    <x v="24"/>
    <x v="1"/>
    <x v="7"/>
    <x v="1"/>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x v="31"/>
    <x v="11"/>
    <x v="25"/>
    <x v="1"/>
    <x v="6"/>
    <x v="1"/>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x v="32"/>
    <x v="11"/>
    <x v="26"/>
    <x v="0"/>
    <x v="5"/>
    <x v="1"/>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x v="33"/>
    <x v="11"/>
    <x v="27"/>
    <x v="0"/>
    <x v="9"/>
    <x v="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x v="34"/>
    <x v="12"/>
    <x v="14"/>
    <x v="2"/>
    <x v="5"/>
    <x v="4"/>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x v="35"/>
    <x v="7"/>
    <x v="3"/>
    <x v="2"/>
    <x v="5"/>
    <x v="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x v="36"/>
    <x v="4"/>
    <x v="28"/>
    <x v="1"/>
    <x v="5"/>
    <x v="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x v="37"/>
    <x v="4"/>
    <x v="29"/>
    <x v="2"/>
    <x v="6"/>
    <x v="2"/>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x v="38"/>
    <x v="13"/>
    <x v="16"/>
    <x v="1"/>
    <x v="7"/>
    <x v="4"/>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x v="39"/>
    <x v="1"/>
    <x v="30"/>
    <x v="0"/>
    <x v="1"/>
    <x v="1"/>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x v="40"/>
    <x v="6"/>
    <x v="26"/>
    <x v="1"/>
    <x v="3"/>
    <x v="1"/>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x v="41"/>
    <x v="14"/>
    <x v="31"/>
    <x v="2"/>
    <x v="8"/>
    <x v="3"/>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x v="42"/>
    <x v="8"/>
    <x v="32"/>
    <x v="0"/>
    <x v="2"/>
    <x v="2"/>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x v="43"/>
    <x v="4"/>
    <x v="26"/>
    <x v="0"/>
    <x v="1"/>
    <x v="1"/>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x v="44"/>
    <x v="15"/>
    <x v="1"/>
    <x v="0"/>
    <x v="1"/>
    <x v="1"/>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x v="45"/>
    <x v="12"/>
    <x v="26"/>
    <x v="0"/>
    <x v="1"/>
    <x v="1"/>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x v="46"/>
    <x v="7"/>
    <x v="33"/>
    <x v="2"/>
    <x v="7"/>
    <x v="2"/>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x v="47"/>
    <x v="16"/>
    <x v="24"/>
    <x v="0"/>
    <x v="6"/>
    <x v="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x v="48"/>
    <x v="16"/>
    <x v="24"/>
    <x v="0"/>
    <x v="7"/>
    <x v="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x v="49"/>
    <x v="7"/>
    <x v="10"/>
    <x v="2"/>
    <x v="5"/>
    <x v="2"/>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x v="50"/>
    <x v="4"/>
    <x v="20"/>
    <x v="0"/>
    <x v="1"/>
    <x v="1"/>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x v="51"/>
    <x v="12"/>
    <x v="34"/>
    <x v="0"/>
    <x v="1"/>
    <x v="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x v="52"/>
    <x v="4"/>
    <x v="6"/>
    <x v="1"/>
    <x v="9"/>
    <x v="2"/>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x v="53"/>
    <x v="17"/>
    <x v="35"/>
    <x v="1"/>
    <x v="7"/>
    <x v="5"/>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x v="54"/>
    <x v="18"/>
    <x v="26"/>
    <x v="0"/>
    <x v="1"/>
    <x v="1"/>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x v="55"/>
    <x v="19"/>
    <x v="10"/>
    <x v="2"/>
    <x v="6"/>
    <x v="3"/>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x v="56"/>
    <x v="19"/>
    <x v="15"/>
    <x v="2"/>
    <x v="1"/>
    <x v="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x v="57"/>
    <x v="20"/>
    <x v="36"/>
    <x v="0"/>
    <x v="5"/>
    <x v="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x v="58"/>
    <x v="20"/>
    <x v="22"/>
    <x v="2"/>
    <x v="0"/>
    <x v="5"/>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x v="59"/>
    <x v="20"/>
    <x v="37"/>
    <x v="2"/>
    <x v="6"/>
    <x v="3"/>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x v="60"/>
    <x v="21"/>
    <x v="12"/>
    <x v="1"/>
    <x v="7"/>
    <x v="3"/>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8826F8-9C36-4BD2-B98F-0BC7AF2DAA5C}" name="PivotTable4" cacheId="1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A97:D103" firstHeaderRow="1" firstDataRow="2" firstDataCol="1"/>
  <pivotFields count="83">
    <pivotField dataField="1" showAll="0"/>
    <pivotField showAll="0"/>
    <pivotField showAll="0"/>
    <pivotField showAll="0">
      <items count="4">
        <item x="2"/>
        <item x="1"/>
        <item x="0"/>
        <item t="default"/>
      </items>
    </pivotField>
    <pivotField showAll="0">
      <items count="11">
        <item x="8"/>
        <item x="0"/>
        <item x="4"/>
        <item x="6"/>
        <item x="9"/>
        <item x="7"/>
        <item x="2"/>
        <item x="5"/>
        <item x="3"/>
        <item x="1"/>
        <item t="default"/>
      </items>
    </pivotField>
    <pivotField showAll="0">
      <items count="7">
        <item x="2"/>
        <item x="5"/>
        <item x="3"/>
        <item x="4"/>
        <item x="0"/>
        <item x="1"/>
        <item t="default"/>
      </items>
    </pivotField>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h="1" x="1"/>
        <item h="1" x="3"/>
        <item x="2"/>
        <item x="0"/>
        <item t="default"/>
      </items>
    </pivotField>
  </pivotFields>
  <rowFields count="1">
    <field x="13"/>
  </rowFields>
  <rowItems count="5">
    <i>
      <x/>
    </i>
    <i>
      <x v="1"/>
    </i>
    <i>
      <x v="2"/>
    </i>
    <i>
      <x v="3"/>
    </i>
    <i t="grand">
      <x/>
    </i>
  </rowItems>
  <colFields count="1">
    <field x="82"/>
  </colFields>
  <colItems count="3">
    <i>
      <x v="2"/>
    </i>
    <i>
      <x v="3"/>
    </i>
    <i t="grand">
      <x/>
    </i>
  </colItems>
  <dataFields count="1">
    <dataField name="Count of Evaluation_ID" fld="0" subtotal="count" baseField="13" baseItem="0"/>
  </dataFields>
  <chartFormats count="4">
    <chartFormat chart="0" format="0" series="1">
      <pivotArea type="data" outline="0" fieldPosition="0">
        <references count="2">
          <reference field="4294967294" count="1" selected="0">
            <x v="0"/>
          </reference>
          <reference field="82" count="1" selected="0">
            <x v="2"/>
          </reference>
        </references>
      </pivotArea>
    </chartFormat>
    <chartFormat chart="0" format="1" series="1">
      <pivotArea type="data" outline="0" fieldPosition="0">
        <references count="2">
          <reference field="4294967294" count="1" selected="0">
            <x v="0"/>
          </reference>
          <reference field="82" count="1" selected="0">
            <x v="3"/>
          </reference>
        </references>
      </pivotArea>
    </chartFormat>
    <chartFormat chart="0" format="2" series="1">
      <pivotArea type="data" outline="0" fieldPosition="0">
        <references count="2">
          <reference field="4294967294" count="1" selected="0">
            <x v="0"/>
          </reference>
          <reference field="82" count="1" selected="0">
            <x v="0"/>
          </reference>
        </references>
      </pivotArea>
    </chartFormat>
    <chartFormat chart="0" format="3" series="1">
      <pivotArea type="data" outline="0" fieldPosition="0">
        <references count="2">
          <reference field="4294967294" count="1" selected="0">
            <x v="0"/>
          </reference>
          <reference field="8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A85151-8087-46F3-8B19-8CCC90E317FB}" name="PivotTable3" cacheId="1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46:B69" firstHeaderRow="1" firstDataRow="1" firstDataCol="1"/>
  <pivotFields count="83">
    <pivotField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Row" showAll="0" sortType="ascending">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1" baseItem="0" numFmtId="2"/>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0CE1F-E18D-4FFA-9BCD-22CA2A4D3601}" name="PivotTable2" cacheId="1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B22:C27"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Evaluation Score" fld="2" subtotal="average" baseField="13"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5804D8-78E8-4DF0-B280-C175F6739D33}" name="PivotTable1" cacheId="1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6">
  <location ref="B3:G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1"/>
        <item x="3"/>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1" numFmtId="10"/>
  </dataFields>
  <chartFormats count="4">
    <chartFormat chart="12" format="0" series="1">
      <pivotArea type="data" outline="0" fieldPosition="0">
        <references count="2">
          <reference field="4294967294" count="1" selected="0">
            <x v="0"/>
          </reference>
          <reference field="82" count="1" selected="0">
            <x v="0"/>
          </reference>
        </references>
      </pivotArea>
    </chartFormat>
    <chartFormat chart="12" format="1" series="1">
      <pivotArea type="data" outline="0" fieldPosition="0">
        <references count="2">
          <reference field="4294967294" count="1" selected="0">
            <x v="0"/>
          </reference>
          <reference field="82" count="1" selected="0">
            <x v="1"/>
          </reference>
        </references>
      </pivotArea>
    </chartFormat>
    <chartFormat chart="12" format="2" series="1">
      <pivotArea type="data" outline="0" fieldPosition="0">
        <references count="2">
          <reference field="4294967294" count="1" selected="0">
            <x v="0"/>
          </reference>
          <reference field="82" count="1" selected="0">
            <x v="2"/>
          </reference>
        </references>
      </pivotArea>
    </chartFormat>
    <chartFormat chart="12" format="3" series="1">
      <pivotArea type="data" outline="0" fieldPosition="0">
        <references count="2">
          <reference field="4294967294" count="1" selected="0">
            <x v="0"/>
          </reference>
          <reference field="8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99A0AE-CCAB-407B-B82E-0B734CBBD891}" name="evaluation_table" displayName="evaluation_table" ref="A1:CE62" totalsRowShown="0" headerRowDxfId="0" dataDxfId="1" headerRowBorderDxfId="86" tableBorderDxfId="87" totalsRowBorderDxfId="85">
  <autoFilter ref="A1:CE62" xr:uid="{AB99A0AE-CCAB-407B-B82E-0B734CBBD891}"/>
  <tableColumns count="83">
    <tableColumn id="1" xr3:uid="{6BD43EE0-F9DB-4010-A222-66FD0266A904}" name="Evaluation_ID" dataDxfId="84"/>
    <tableColumn id="2" xr3:uid="{A3BAC246-ABF7-4161-9740-E517263650A5}" name="Evaluation_Date" dataDxfId="83"/>
    <tableColumn id="3" xr3:uid="{485D2DB2-CD12-40D6-A5E0-B7F82CA33FB6}" name="Evaluation_Score" dataDxfId="82"/>
    <tableColumn id="4" xr3:uid="{39E2350B-049C-4A8E-AEBD-942744DEB849}" name="STORE AMBIANCE" dataDxfId="81"/>
    <tableColumn id="5" xr3:uid="{8A6DA727-FA8E-44C0-B496-350511AD4FFB}" name="FIRST IMPRESSIONS" dataDxfId="80"/>
    <tableColumn id="6" xr3:uid="{F3162526-9DB8-4394-88A1-DCDD6BB32CE4}" name="DISCOVERY" dataDxfId="79"/>
    <tableColumn id="7" xr3:uid="{1B0609A7-37D8-4131-82F0-0A4257EF5443}" name="RECOMMENDATIONS" dataDxfId="78"/>
    <tableColumn id="8" xr3:uid="{698354C4-A710-4084-981E-1DFCB40B9EA2}" name="TRIAL EXPERIENCE &amp; UPSELL" dataDxfId="77"/>
    <tableColumn id="9" xr3:uid="{EA8FF77D-EBFA-443E-97FC-B7FCBB3D915F}" name="OBJECTION HANDLING" dataDxfId="76"/>
    <tableColumn id="10" xr3:uid="{0E6BD400-A7E2-4A4B-84C0-D261C3369E71}" name="CLOSURE &amp; CARE" dataDxfId="75"/>
    <tableColumn id="11" xr3:uid="{1CB2CDA0-4FFA-4200-B909-0A48A0CB39F4}" name="OVERALL EXPERIENCE" dataDxfId="74"/>
    <tableColumn id="12" xr3:uid="{6548C3E0-EE5C-4F82-A9C9-F8B256267D32}" name="Location_City" dataDxfId="73"/>
    <tableColumn id="13" xr3:uid="{7A2C7531-EA7C-43F9-BC03-29FCB5D51D4D}" name="Location_State" dataDxfId="72"/>
    <tableColumn id="14" xr3:uid="{A2EF6309-8084-40FE-AB83-2AB5EDD8729C}" name="Zone" dataDxfId="71"/>
    <tableColumn id="15" xr3:uid="{3E372AD1-E1DE-41C8-82F0-53704D1C564C}" name="Location_Country" dataDxfId="70"/>
    <tableColumn id="16" xr3:uid="{574B8769-D633-4E87-9C3F-9C640B310ECE}" name="Time of entry:" dataDxfId="69"/>
    <tableColumn id="17" xr3:uid="{FCEFE12B-7AB1-4CD9-A59C-E8C486B34781}" name="Time of exit:" dataDxfId="68"/>
    <tableColumn id="18" xr3:uid="{01101F48-789A-4767-8942-FFF953A8DE57}" name="Duration of visit:" dataDxfId="67"/>
    <tableColumn id="19" xr3:uid="{EE15955D-D18E-4515-90C0-2E4C6BE00B7F}" name="How many Style Advisors were present in the store during your visit?" dataDxfId="66"/>
    <tableColumn id="20" xr3:uid="{640E3CC8-A1CD-4076-A396-FC8AF9765C77}" name="How many customers were present in the store during your visit?" dataDxfId="65"/>
    <tableColumn id="21" xr3:uid="{5B602B3F-5277-4C25-89E4-F363CBC453F5}" name="Age of the Auditor:" dataDxfId="64"/>
    <tableColumn id="22" xr3:uid="{0B9484A1-C905-4711-8049-E4C5E03A2CA2}" name="Gender of Auditor:" dataDxfId="63"/>
    <tableColumn id="23" xr3:uid="{E16FBE15-F91A-4C57-ADC5-48C4D08BCD95}" name="Please describe what you were wearing during your visit." dataDxfId="62"/>
    <tableColumn id="24" xr3:uid="{56EEB1D5-B0A3-49AD-A189-EBFAF5FCB307}" name="Name of the Style Advisor who attended to you:" dataDxfId="61"/>
    <tableColumn id="25" xr3:uid="{0165D7E8-F309-40F6-8599-F7C0E24ECD4A}" name="Please provide a detailed physical description (gender, approx. height, complexion, hair colour, wore spectacles, wearing Company branded t-shirt, plain jeans, shoes, proper shave and hairstyle done, etc.)" dataDxfId="60"/>
    <tableColumn id="26" xr3:uid="{7FD1ED6D-0E42-41EB-AAAF-B2CE5D06403D}" name="1.1 -  Was the exterior signage clean and well lit?" dataDxfId="59"/>
    <tableColumn id="27" xr3:uid="{BFC9620A-8EBD-4FA7-9265-1D5C00236834}" name="1.2 -  Was the store threshold, entrance and overall look inviting?" dataDxfId="58"/>
    <tableColumn id="28" xr3:uid="{8EBFAF1D-D09C-437F-9FAA-F0B3815B57C5}" name="1.3 -  Were all the fixtures and other tangibles in good condition (walls, lights, floor, etc.)?" dataDxfId="57"/>
    <tableColumn id="29" xr3:uid="{7AB22A39-3832-4607-8321-AAFE1AD3BCE6}" name="1.4 -  Was there any music playing at the store?" dataDxfId="56"/>
    <tableColumn id="30" xr3:uid="{29ECE10C-7D1C-47DE-A0AB-2B7F9EBDB518}" name="1.5 -  Was the digital screen in the store operational during your visit?" dataDxfId="55"/>
    <tableColumn id="31" xr3:uid="{B6FD00AF-2463-4F85-9B18-05C2387BA478}" name="1.6 -  Did you see any cartons, etc. lying around?" dataDxfId="54"/>
    <tableColumn id="32" xr3:uid="{89D1A4BB-FD90-436E-960E-4C135E606640}" name="1.7 - Was the merchandise displayed and arranged well on the drawers/shelves/display tables?" dataDxfId="53"/>
    <tableColumn id="33" xr3:uid="{E16339D0-DBFE-4926-A2AB-3E03FF133B7A}" name="1.8 - Was the merchandise arranged according to the brand and frame type?" dataDxfId="52"/>
    <tableColumn id="34" xr3:uid="{49817546-A2C1-4180-AA9C-DFFA335510B3}" name="1.9 - Upon your entrance, did you feel welcomed to freely move and explore the store?" dataDxfId="51"/>
    <tableColumn id="35" xr3:uid="{B71E333A-AE75-4F2D-98EC-A394736CA960}" name="1.10 -  Additional remarks, if any." dataDxfId="50"/>
    <tableColumn id="36" xr3:uid="{9428DAB5-3B7A-4D9F-931D-FC3886F63B4F}" name="2.1 - What was your first impression when you entered the store? Please mention the details." dataDxfId="49"/>
    <tableColumn id="37" xr3:uid="{277E50DB-CE1D-4C4A-A5D3-736079D8CB8B}" name="2.1.1 Please justify your reason for the above marking." dataDxfId="48"/>
    <tableColumn id="38" xr3:uid="{BF2144F7-7E7F-4F3A-BD49-2C1A1D805C59}" name="2.2 - Were you acknowledged and greeted with the following:" dataDxfId="47"/>
    <tableColumn id="39" xr3:uid="{4AAA4339-CCA3-4419-9E81-0CC389DC5BBE}" name="2.3 - How long did you have to wait to receive service from the Style Advisor (from the moment you entered the store until you received service from the advisor)?" dataDxfId="46"/>
    <tableColumn id="40" xr3:uid="{A90A4840-4A9C-4B59-9ADB-77AE70135A91}" name="2.4 - Was the store temperature maintained at a comfortable level?" dataDxfId="45"/>
    <tableColumn id="41" xr3:uid="{0F2A4BA0-C1F4-4A07-B5BC-A9F361722482}" name="2.5 - Was there a pleasant aroma inside the store?" dataDxfId="44"/>
    <tableColumn id="42" xr3:uid="{EE0A5052-C956-45A3-BA7E-DBCF619F0F86}" name="2.6 - Were the racks and signages for offers neat and clean, and was the cashier desk neat and well stocked?" dataDxfId="43"/>
    <tableColumn id="43" xr3:uid="{70203FF0-A997-42F7-96B5-17805CA26A87}" name="2.7 -   Were you proactively approached by the Style Advisor to initiate in an icebreaking, non transactional conversation? (Eg: &quot;Nice shades/watch/denims!&quot;, &quot;I must say you have great taste&quot;)" dataDxfId="42"/>
    <tableColumn id="44" xr3:uid="{C68AE1F7-744E-43AA-958B-BBAB8070E5FE}" name="2.8 - Were you given assistance with your bags, if you had any? (mark N/A if you did not have any bags)" dataDxfId="41"/>
    <tableColumn id="45" xr3:uid="{FE29F8D2-36DF-48D0-9D54-D0AA8CA56F31}" name="3.1 -   Did Style Advisor proactively engage you in a conversation to understand your needs and wants? Questions may include occasion/reason for purchase, lifestyle, choice of colour, style, material, volume, function, size, etc." dataDxfId="40"/>
    <tableColumn id="46" xr3:uid="{83B4FA19-91A8-44C2-9120-801A5FD44984}" name="3.2 - Did Style Advisor genuinely show an interest in your needs and listen to you empathically?" dataDxfId="39"/>
    <tableColumn id="47" xr3:uid="{8BD2B526-1CE1-49B1-B9B6-0C083305C09C}" name="3.3 - What were the questions asked by the Style Advisor to discover your needs?" dataDxfId="38"/>
    <tableColumn id="48" xr3:uid="{AE4DD91D-1381-4F3B-A6A4-FB30BAEFF357}" name="3.4 - While presenting the product, did the Style Advisor tell you about the brand?" dataDxfId="37"/>
    <tableColumn id="49" xr3:uid="{CD2B3E52-83F9-4645-9C80-A3D00320A317}" name="3.5 - Additional remarks, if any." dataDxfId="36"/>
    <tableColumn id="50" xr3:uid="{8A9E36EB-AF37-49E2-AFD3-5303CB2DF812}" name="3.6 - When you stated your interest in a specific brand, did the Style Advisor respond by asking you questions about your product needs?" dataDxfId="35"/>
    <tableColumn id="51" xr3:uid="{3B560DDE-94B9-41BE-876C-A28DBABC3E3D}" name="3.6.1 - If yes, what were the questions asked pertaining to that brand?" dataDxfId="34"/>
    <tableColumn id="52" xr3:uid="{A038D5E2-97FA-4DB1-A1BA-E33E48500FEC}" name="4.1 - Were multiple options introduced  across the brands as per your needs?" dataDxfId="33"/>
    <tableColumn id="53" xr3:uid="{8E3CF33C-9E7C-4812-B282-2591D944B092}" name="4.2 - Did Style Advisor share the current season's inspiration or craftsmanship of the product?" dataDxfId="32"/>
    <tableColumn id="54" xr3:uid="{598E70CA-1C45-4B0B-B620-A0267910BA33}" name="4.3 - While showing the options, did the Style Advisor talk about the characteristics of the product and how it will benefit you and meet your needs? (This may include the name of the product, their style, quality or type of material, comfort, etc.)" dataDxfId="31"/>
    <tableColumn id="55" xr3:uid="{59F0119D-6D73-4A2C-B26E-EBE715118B7B}" name="4.4 - Did they briefly share the brand story with you?" dataDxfId="30"/>
    <tableColumn id="56" xr3:uid="{42DF823B-B575-4582-A256-45A015FD93CE}" name="5.1 - Were you encouraged to touch/feel and try the products?" dataDxfId="29"/>
    <tableColumn id="57" xr3:uid="{9A569380-1F35-4399-B213-614ED799A812}" name="5.2 - Did Style Advisor offer compliments/corrections post-trial?" dataDxfId="28"/>
    <tableColumn id="58" xr3:uid="{54F2C37E-BF0E-499C-87D0-24B99881DDF4}" name="5.3 - Did the Style Advisor offer appropriate recommendations as per your facial characteristics and anatomy?" dataDxfId="27"/>
    <tableColumn id="59" xr3:uid="{956996AE-DF49-48C0-A717-A94B0BB37540}" name="5.4 - Did the Style Advisor clean the sunglasses before the trial?" dataDxfId="26"/>
    <tableColumn id="60" xr3:uid="{341E5B9C-8818-423D-B96D-5B68F36CA02F}" name="5.5 - Did the Style Advisor use the styling tray and microfiber cloth during the trial and demonstration?" dataDxfId="25"/>
    <tableColumn id="61" xr3:uid="{5B79AC8A-88E3-4C6A-BA8C-1CEECF4ECD5F}" name="5.6 - Did the Style Advisor try to get your feedback as well as give suggestions about the products being shown and tried on?" dataDxfId="24"/>
    <tableColumn id="62" xr3:uid="{6D088E39-CF51-4344-A4E9-E288DF9F535A}" name="5.7 - Did the Style Advisor try to up-sell products from different categories? (Recommend product eg New arrivals, festive collections etc)?" dataDxfId="23"/>
    <tableColumn id="63" xr3:uid="{13D1BF68-141F-4AC8-9EA8-1A13074C484F}" name="5.8 - Please mention the details of the product recommended." dataDxfId="22"/>
    <tableColumn id="64" xr3:uid="{F33F38D0-FE35-4678-8BC2-D610AC9459C4}" name="5.9 - Please share your overall trial experience." dataDxfId="21"/>
    <tableColumn id="65" xr3:uid="{D84D5C8F-472E-49F4-9B2F-AFFAB8CE272E}" name="6.1 - What objection did you raise during the visit for the recommended product/brand?" dataDxfId="20"/>
    <tableColumn id="66" xr3:uid="{139855C8-3D7E-4426-A226-5FC8F50A6EF9}" name="6.1.1 - If other, please elaborate" dataDxfId="19"/>
    <tableColumn id="67" xr3:uid="{67B74F91-887D-409A-BE0C-C79D6AE31553}" name="6.2 - If you raised an objection on a product, did the Style Advisor make an effort to understand the reason for your hesitation?" dataDxfId="18"/>
    <tableColumn id="68" xr3:uid="{AD7F0DB8-821E-43CE-8BC3-9F2EA1D43EC7}" name="6.3 - Did the Style Advisor answer your objection appropriately and address the concern that you brought up?" dataDxfId="17"/>
    <tableColumn id="69" xr3:uid="{C119DB69-C44E-438D-8C4C-550CCE39E97B}" name="6.4 -    Did the Style Advisor show you any other product to match your need?" dataDxfId="16"/>
    <tableColumn id="70" xr3:uid="{5D9B93E6-7418-4C9F-B9B7-DB16C49BF86C}" name="7.1 - At the end of the interaction, did the Style Advisor do any of the following?" dataDxfId="15"/>
    <tableColumn id="71" xr3:uid="{19B9D30D-3DC4-4B45-BE8E-9624D64C5FAF}" name="7.1.1 - If other, please specify." dataDxfId="14"/>
    <tableColumn id="72" xr3:uid="{BC67D292-3AEC-4D22-B8FA-38940A10D7C2}" name="7.2 - Did the Style Advisor try to close the sale in a pleasant and positive manner?" dataDxfId="13"/>
    <tableColumn id="73" xr3:uid="{1F49B3FC-609E-4B19-ADA1-9FCA64FC3AE2}" name="7.3 - Did the Style Advisor talk about the ongoing offers during the conversation?" dataDxfId="12"/>
    <tableColumn id="74" xr3:uid="{EEEE3051-4D4B-4C9D-945F-C28830DCA3E6}" name="7.4 - Did the Style Advisor talk about the &quot;Sun Perks&quot; loyalty program?" dataDxfId="11"/>
    <tableColumn id="75" xr3:uid="{0A597A50-471E-4A29-8101-A0FDDF2C8499}" name="7.5 - Did the Style Advisor talk about the benefits of  &quot;Perfect Pair Promise&quot;?" dataDxfId="10"/>
    <tableColumn id="76" xr3:uid="{E29A2730-6A6B-49F7-93C6-B8AF3AE8D979}" name="7.6 - Did the Style Advisor's attitude change when he/she realized that you would not be buying the product on the same day?" dataDxfId="9"/>
    <tableColumn id="77" xr3:uid="{0F66407D-EF17-48A7-958A-55EE381DDD53}" name="7.7 - Did Style Advisor share a reason to come back (possibly including dates for an upcoming collection, any events or offers)?" dataDxfId="8"/>
    <tableColumn id="78" xr3:uid="{213FD031-E2EC-4DE8-B72E-9A066B88D59F}" name="7.8 - Did the Style Advisor thank you for visiting the store?" dataDxfId="7"/>
    <tableColumn id="79" xr3:uid="{B488C779-9346-478F-BCEE-4BDFCEB35D70}" name="7.9 - Did Style Advisor accompany you to the exit, bid you farewell in warm manner, and invite you to come back?" dataDxfId="6"/>
    <tableColumn id="80" xr3:uid="{D185CA91-50E8-48CB-ACF2-25B3813E70EA}" name="8.1 - On a scale of 1 to 10, how likely is it that you will come back to the Sunglass Hut?" dataDxfId="5"/>
    <tableColumn id="81" xr3:uid="{46416A36-75C1-495C-BA2C-62F0907A26DC}" name="8.2 - Did you find Style Advisor engaging &amp; displaying positive body language during entire conversation?" dataDxfId="4"/>
    <tableColumn id="82" xr3:uid="{271F922E-8B7A-488C-B682-E3DEEA18911F}" name="8.3 -   On a scale of 1 to 10, rate the Style Advisor on his/her overall assistance during the visit." dataDxfId="3"/>
    <tableColumn id="83" xr3:uid="{BEAF4D74-77E0-4EBE-B92B-16650C249288}" name="Performance_grade" dataDxfId="2">
      <calculatedColumnFormula>IF(AND(C2&gt;=90,C2&lt;=100),"High Performer",IF(AND(C2&gt;=70,C2&lt;90),"Average Performer",IF(AND(C2&gt;=50,C2&lt;70),"Low Performer","Bottom Performer")))</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abSelected="1" zoomScale="85" zoomScaleNormal="85" workbookViewId="0">
      <selection activeCell="C13" sqref="C13"/>
    </sheetView>
  </sheetViews>
  <sheetFormatPr defaultRowHeight="14.4" x14ac:dyDescent="0.3"/>
  <cols>
    <col min="1" max="1" width="19.21875" bestFit="1" customWidth="1"/>
    <col min="2" max="2" width="21.5546875" bestFit="1" customWidth="1"/>
    <col min="3" max="3" width="22.21875" bestFit="1" customWidth="1"/>
    <col min="4" max="4" width="23.33203125" bestFit="1" customWidth="1"/>
    <col min="5" max="5" width="25.21875" bestFit="1" customWidth="1"/>
    <col min="6" max="6" width="17.109375" bestFit="1" customWidth="1"/>
    <col min="7" max="7" width="26.6640625" bestFit="1" customWidth="1"/>
    <col min="8" max="8" width="32.88671875" bestFit="1" customWidth="1"/>
    <col min="9" max="9" width="28" bestFit="1" customWidth="1"/>
    <col min="10" max="10" width="22.44140625" bestFit="1" customWidth="1"/>
    <col min="11" max="11" width="26.6640625" bestFit="1" customWidth="1"/>
    <col min="12" max="12" width="18.6640625" bestFit="1" customWidth="1"/>
    <col min="13" max="13" width="20.109375" bestFit="1" customWidth="1"/>
    <col min="14" max="14" width="11" bestFit="1" customWidth="1"/>
    <col min="15" max="15" width="22.5546875" bestFit="1" customWidth="1"/>
    <col min="16" max="16" width="19.5546875" bestFit="1" customWidth="1"/>
    <col min="17" max="17" width="18" bestFit="1" customWidth="1"/>
    <col min="18" max="18" width="21.88671875" bestFit="1" customWidth="1"/>
    <col min="19" max="19" width="72.21875" bestFit="1" customWidth="1"/>
    <col min="20" max="20" width="68.88671875" bestFit="1" customWidth="1"/>
    <col min="21" max="21" width="24.33203125" bestFit="1" customWidth="1"/>
    <col min="22" max="22" width="24" bestFit="1" customWidth="1"/>
    <col min="23" max="23" width="60.6640625" bestFit="1" customWidth="1"/>
    <col min="24" max="24" width="52.109375" bestFit="1" customWidth="1"/>
    <col min="25" max="25" width="201" bestFit="1" customWidth="1"/>
    <col min="26" max="26" width="52.77734375" bestFit="1" customWidth="1"/>
    <col min="27" max="27" width="68.33203125" bestFit="1" customWidth="1"/>
    <col min="28" max="28" width="91.21875" bestFit="1" customWidth="1"/>
    <col min="29" max="29" width="51.33203125" bestFit="1" customWidth="1"/>
    <col min="30" max="30" width="72.5546875" bestFit="1" customWidth="1"/>
    <col min="31" max="31" width="52.109375" bestFit="1" customWidth="1"/>
    <col min="32" max="32" width="97" bestFit="1" customWidth="1"/>
    <col min="33" max="33" width="78.6640625" bestFit="1" customWidth="1"/>
    <col min="34" max="34" width="89.5546875" bestFit="1" customWidth="1"/>
    <col min="35" max="35" width="37.6640625" bestFit="1" customWidth="1"/>
    <col min="36" max="36" width="95.77734375" bestFit="1" customWidth="1"/>
    <col min="37" max="37" width="58.33203125" bestFit="1" customWidth="1"/>
    <col min="38" max="38" width="65.21875" bestFit="1" customWidth="1"/>
    <col min="39" max="39" width="162.109375" bestFit="1" customWidth="1"/>
    <col min="40" max="40" width="70.77734375" bestFit="1" customWidth="1"/>
    <col min="41" max="41" width="54.21875" bestFit="1" customWidth="1"/>
    <col min="42" max="42" width="109.109375" bestFit="1" customWidth="1"/>
    <col min="43" max="43" width="189" bestFit="1" customWidth="1"/>
    <col min="44" max="44" width="104.33203125" bestFit="1" customWidth="1"/>
    <col min="45" max="45" width="221.33203125" bestFit="1" customWidth="1"/>
    <col min="46" max="46" width="97.21875" bestFit="1" customWidth="1"/>
    <col min="47" max="47" width="84.109375" bestFit="1" customWidth="1"/>
    <col min="48" max="48" width="84.44140625" bestFit="1" customWidth="1"/>
    <col min="49" max="49" width="35.77734375" bestFit="1" customWidth="1"/>
    <col min="50" max="50" width="136.5546875" bestFit="1" customWidth="1"/>
    <col min="51" max="51" width="73.44140625" bestFit="1" customWidth="1"/>
    <col min="52" max="52" width="79.6640625" bestFit="1" customWidth="1"/>
    <col min="53" max="53" width="95.109375" bestFit="1" customWidth="1"/>
    <col min="54" max="54" width="240.109375" bestFit="1" customWidth="1"/>
    <col min="55" max="55" width="56.5546875" bestFit="1" customWidth="1"/>
    <col min="56" max="56" width="66" bestFit="1" customWidth="1"/>
    <col min="57" max="57" width="67" bestFit="1" customWidth="1"/>
    <col min="58" max="58" width="110.44140625" bestFit="1" customWidth="1"/>
    <col min="59" max="59" width="66.88671875" bestFit="1" customWidth="1"/>
    <col min="60" max="60" width="103.77734375" bestFit="1" customWidth="1"/>
    <col min="61" max="61" width="124.77734375" bestFit="1" customWidth="1"/>
    <col min="62" max="62" width="137.88671875" bestFit="1" customWidth="1"/>
    <col min="63" max="63" width="65.77734375" bestFit="1" customWidth="1"/>
    <col min="64" max="64" width="51" bestFit="1" customWidth="1"/>
    <col min="65" max="65" width="90" bestFit="1" customWidth="1"/>
    <col min="66" max="66" width="37" bestFit="1" customWidth="1"/>
    <col min="67" max="67" width="127.33203125" bestFit="1" customWidth="1"/>
    <col min="68" max="68" width="110.5546875" bestFit="1" customWidth="1"/>
    <col min="69" max="69" width="80.21875" bestFit="1" customWidth="1"/>
    <col min="70" max="70" width="82.33203125" bestFit="1" customWidth="1"/>
    <col min="71" max="71" width="35" bestFit="1" customWidth="1"/>
    <col min="72" max="72" width="83.88671875" bestFit="1" customWidth="1"/>
    <col min="73" max="73" width="83.109375" bestFit="1" customWidth="1"/>
    <col min="74" max="74" width="73" bestFit="1" customWidth="1"/>
    <col min="75" max="75" width="78.88671875" bestFit="1" customWidth="1"/>
    <col min="76" max="76" width="126.88671875" bestFit="1" customWidth="1"/>
    <col min="77" max="77" width="126" bestFit="1" customWidth="1"/>
    <col min="78" max="78" width="61.6640625" bestFit="1" customWidth="1"/>
    <col min="79" max="79" width="114.44140625" bestFit="1" customWidth="1"/>
    <col min="80" max="80" width="88.21875" bestFit="1" customWidth="1"/>
    <col min="81" max="81" width="105.77734375" bestFit="1" customWidth="1"/>
    <col min="82" max="82" width="96.21875" bestFit="1" customWidth="1"/>
    <col min="83" max="83" width="24.77734375" bestFit="1" customWidth="1"/>
  </cols>
  <sheetData>
    <row r="1" spans="1:83" s="2" customFormat="1" ht="15.6" x14ac:dyDescent="0.3">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74</v>
      </c>
      <c r="BX1" s="12" t="s">
        <v>75</v>
      </c>
      <c r="BY1" s="12" t="s">
        <v>76</v>
      </c>
      <c r="BZ1" s="12" t="s">
        <v>77</v>
      </c>
      <c r="CA1" s="12" t="s">
        <v>78</v>
      </c>
      <c r="CB1" s="12" t="s">
        <v>79</v>
      </c>
      <c r="CC1" s="12" t="s">
        <v>80</v>
      </c>
      <c r="CD1" s="12" t="s">
        <v>81</v>
      </c>
      <c r="CE1" s="13" t="s">
        <v>785</v>
      </c>
    </row>
    <row r="2" spans="1:83" x14ac:dyDescent="0.3">
      <c r="A2" s="9">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s="10" t="str">
        <f>IF(AND(C2&gt;=90,C2&lt;=100),"High Performer",IF(AND(C2&gt;=70,C2&lt;90),"Average Performer",IF(AND(C2&gt;=50,C2&lt;70),"Low Performer","Bottom Performer")))</f>
        <v>Low Performer</v>
      </c>
    </row>
    <row r="3" spans="1:83" x14ac:dyDescent="0.3">
      <c r="A3" s="9">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s="10" t="str">
        <f t="shared" ref="CE3:CE62" si="0">IF(AND(C3&gt;=90,C3&lt;=100),"High Performer",IF(AND(C3&gt;=70,C3&lt;90),"Average Performer",IF(AND(C3&gt;=50,C3&lt;70),"Low Performer","Bottom Performer")))</f>
        <v>Average Performer</v>
      </c>
    </row>
    <row r="4" spans="1:83" x14ac:dyDescent="0.3">
      <c r="A4" s="9">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s="10" t="str">
        <f t="shared" si="0"/>
        <v>Average Performer</v>
      </c>
    </row>
    <row r="5" spans="1:83" x14ac:dyDescent="0.3">
      <c r="A5" s="9">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s="10" t="str">
        <f t="shared" si="0"/>
        <v>Average Performer</v>
      </c>
    </row>
    <row r="6" spans="1:83" x14ac:dyDescent="0.3">
      <c r="A6" s="9">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s="10" t="str">
        <f t="shared" si="0"/>
        <v>Average Performer</v>
      </c>
    </row>
    <row r="7" spans="1:83" x14ac:dyDescent="0.3">
      <c r="A7" s="9">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s="10" t="str">
        <f t="shared" si="0"/>
        <v>High Performer</v>
      </c>
    </row>
    <row r="8" spans="1:83" x14ac:dyDescent="0.3">
      <c r="A8" s="9">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s="10" t="str">
        <f t="shared" si="0"/>
        <v>Bottom Performer</v>
      </c>
    </row>
    <row r="9" spans="1:83" x14ac:dyDescent="0.3">
      <c r="A9" s="9">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s="10" t="str">
        <f t="shared" si="0"/>
        <v>Bottom Performer</v>
      </c>
    </row>
    <row r="10" spans="1:83" x14ac:dyDescent="0.3">
      <c r="A10" s="9">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s="10" t="str">
        <f t="shared" si="0"/>
        <v>Average Performer</v>
      </c>
    </row>
    <row r="11" spans="1:83" x14ac:dyDescent="0.3">
      <c r="A11" s="9">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s="10" t="str">
        <f t="shared" si="0"/>
        <v>Average Performer</v>
      </c>
    </row>
    <row r="12" spans="1:83" x14ac:dyDescent="0.3">
      <c r="A12" s="9">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s="10" t="str">
        <f t="shared" si="0"/>
        <v>Average Performer</v>
      </c>
    </row>
    <row r="13" spans="1:83" x14ac:dyDescent="0.3">
      <c r="A13" s="9">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s="10" t="str">
        <f t="shared" si="0"/>
        <v>Average Performer</v>
      </c>
    </row>
    <row r="14" spans="1:83" x14ac:dyDescent="0.3">
      <c r="A14" s="9">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s="10" t="str">
        <f t="shared" si="0"/>
        <v>Average Performer</v>
      </c>
    </row>
    <row r="15" spans="1:83" x14ac:dyDescent="0.3">
      <c r="A15" s="9">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s="10" t="str">
        <f t="shared" si="0"/>
        <v>Average Performer</v>
      </c>
    </row>
    <row r="16" spans="1:83" x14ac:dyDescent="0.3">
      <c r="A16" s="9">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s="10" t="str">
        <f t="shared" si="0"/>
        <v>Low Performer</v>
      </c>
    </row>
    <row r="17" spans="1:83" x14ac:dyDescent="0.3">
      <c r="A17" s="9">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s="10" t="str">
        <f t="shared" si="0"/>
        <v>Average Performer</v>
      </c>
    </row>
    <row r="18" spans="1:83" x14ac:dyDescent="0.3">
      <c r="A18" s="9">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s="10" t="str">
        <f t="shared" si="0"/>
        <v>Average Performer</v>
      </c>
    </row>
    <row r="19" spans="1:83" x14ac:dyDescent="0.3">
      <c r="A19" s="9">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s="10" t="str">
        <f t="shared" si="0"/>
        <v>Low Performer</v>
      </c>
    </row>
    <row r="20" spans="1:83" x14ac:dyDescent="0.3">
      <c r="A20" s="9">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s="10" t="str">
        <f t="shared" si="0"/>
        <v>Average Performer</v>
      </c>
    </row>
    <row r="21" spans="1:83" x14ac:dyDescent="0.3">
      <c r="A21" s="9">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s="10" t="str">
        <f t="shared" si="0"/>
        <v>Average Performer</v>
      </c>
    </row>
    <row r="22" spans="1:83" x14ac:dyDescent="0.3">
      <c r="A22" s="9">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s="10" t="str">
        <f t="shared" si="0"/>
        <v>Average Performer</v>
      </c>
    </row>
    <row r="23" spans="1:83" x14ac:dyDescent="0.3">
      <c r="A23" s="9">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s="10" t="str">
        <f t="shared" si="0"/>
        <v>Average Performer</v>
      </c>
    </row>
    <row r="24" spans="1:83" x14ac:dyDescent="0.3">
      <c r="A24" s="9">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s="10" t="str">
        <f t="shared" si="0"/>
        <v>Low Performer</v>
      </c>
    </row>
    <row r="25" spans="1:83" x14ac:dyDescent="0.3">
      <c r="A25" s="9">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s="10" t="str">
        <f t="shared" si="0"/>
        <v>Low Performer</v>
      </c>
    </row>
    <row r="26" spans="1:83" x14ac:dyDescent="0.3">
      <c r="A26" s="9">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s="10" t="str">
        <f t="shared" si="0"/>
        <v>Average Performer</v>
      </c>
    </row>
    <row r="27" spans="1:83" x14ac:dyDescent="0.3">
      <c r="A27" s="9">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s="10" t="str">
        <f t="shared" si="0"/>
        <v>Average Performer</v>
      </c>
    </row>
    <row r="28" spans="1:83" x14ac:dyDescent="0.3">
      <c r="A28" s="9">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s="10" t="str">
        <f t="shared" si="0"/>
        <v>High Performer</v>
      </c>
    </row>
    <row r="29" spans="1:83" x14ac:dyDescent="0.3">
      <c r="A29" s="9">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s="10" t="str">
        <f t="shared" si="0"/>
        <v>Low Performer</v>
      </c>
    </row>
    <row r="30" spans="1:83" x14ac:dyDescent="0.3">
      <c r="A30" s="9">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s="10" t="str">
        <f t="shared" si="0"/>
        <v>Bottom Performer</v>
      </c>
    </row>
    <row r="31" spans="1:83" x14ac:dyDescent="0.3">
      <c r="A31" s="9">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s="10" t="str">
        <f t="shared" si="0"/>
        <v>Low Performer</v>
      </c>
    </row>
    <row r="32" spans="1:83" x14ac:dyDescent="0.3">
      <c r="A32" s="9">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s="10" t="str">
        <f t="shared" si="0"/>
        <v>Low Performer</v>
      </c>
    </row>
    <row r="33" spans="1:83" x14ac:dyDescent="0.3">
      <c r="A33" s="9">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s="10" t="str">
        <f t="shared" si="0"/>
        <v>Average Performer</v>
      </c>
    </row>
    <row r="34" spans="1:83" x14ac:dyDescent="0.3">
      <c r="A34" s="9">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s="10" t="str">
        <f t="shared" si="0"/>
        <v>High Performer</v>
      </c>
    </row>
    <row r="35" spans="1:83" x14ac:dyDescent="0.3">
      <c r="A35" s="9">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s="10" t="str">
        <f t="shared" si="0"/>
        <v>Average Performer</v>
      </c>
    </row>
    <row r="36" spans="1:83" x14ac:dyDescent="0.3">
      <c r="A36" s="9">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s="10" t="str">
        <f t="shared" si="0"/>
        <v>Average Performer</v>
      </c>
    </row>
    <row r="37" spans="1:83" x14ac:dyDescent="0.3">
      <c r="A37" s="9">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s="10" t="str">
        <f t="shared" si="0"/>
        <v>Average Performer</v>
      </c>
    </row>
    <row r="38" spans="1:83" x14ac:dyDescent="0.3">
      <c r="A38" s="9">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s="10" t="str">
        <f t="shared" si="0"/>
        <v>Average Performer</v>
      </c>
    </row>
    <row r="39" spans="1:83" x14ac:dyDescent="0.3">
      <c r="A39" s="9">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s="10" t="str">
        <f t="shared" si="0"/>
        <v>Bottom Performer</v>
      </c>
    </row>
    <row r="40" spans="1:83" x14ac:dyDescent="0.3">
      <c r="A40" s="9">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s="10" t="str">
        <f t="shared" si="0"/>
        <v>Average Performer</v>
      </c>
    </row>
    <row r="41" spans="1:83" x14ac:dyDescent="0.3">
      <c r="A41" s="9">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s="10" t="str">
        <f t="shared" si="0"/>
        <v>High Performer</v>
      </c>
    </row>
    <row r="42" spans="1:83" x14ac:dyDescent="0.3">
      <c r="A42" s="9">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s="10" t="str">
        <f t="shared" si="0"/>
        <v>High Performer</v>
      </c>
    </row>
    <row r="43" spans="1:83" x14ac:dyDescent="0.3">
      <c r="A43" s="9">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s="10" t="str">
        <f t="shared" si="0"/>
        <v>Low Performer</v>
      </c>
    </row>
    <row r="44" spans="1:83" x14ac:dyDescent="0.3">
      <c r="A44" s="9">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s="10" t="str">
        <f t="shared" si="0"/>
        <v>Low Performer</v>
      </c>
    </row>
    <row r="45" spans="1:83" x14ac:dyDescent="0.3">
      <c r="A45" s="9">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s="10" t="str">
        <f t="shared" si="0"/>
        <v>High Performer</v>
      </c>
    </row>
    <row r="46" spans="1:83" x14ac:dyDescent="0.3">
      <c r="A46" s="9">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s="10" t="str">
        <f t="shared" si="0"/>
        <v>Average Performer</v>
      </c>
    </row>
    <row r="47" spans="1:83" x14ac:dyDescent="0.3">
      <c r="A47" s="9">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s="10" t="str">
        <f t="shared" si="0"/>
        <v>High Performer</v>
      </c>
    </row>
    <row r="48" spans="1:83" x14ac:dyDescent="0.3">
      <c r="A48" s="9">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s="10" t="str">
        <f t="shared" si="0"/>
        <v>Bottom Performer</v>
      </c>
    </row>
    <row r="49" spans="1:83" x14ac:dyDescent="0.3">
      <c r="A49" s="9">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s="10" t="str">
        <f t="shared" si="0"/>
        <v>Low Performer</v>
      </c>
    </row>
    <row r="50" spans="1:83" x14ac:dyDescent="0.3">
      <c r="A50" s="9">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s="10" t="str">
        <f t="shared" si="0"/>
        <v>Low Performer</v>
      </c>
    </row>
    <row r="51" spans="1:83" x14ac:dyDescent="0.3">
      <c r="A51" s="9">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s="10" t="str">
        <f t="shared" si="0"/>
        <v>Low Performer</v>
      </c>
    </row>
    <row r="52" spans="1:83" x14ac:dyDescent="0.3">
      <c r="A52" s="9">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s="10" t="str">
        <f t="shared" si="0"/>
        <v>High Performer</v>
      </c>
    </row>
    <row r="53" spans="1:83" x14ac:dyDescent="0.3">
      <c r="A53" s="9">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s="10" t="str">
        <f t="shared" si="0"/>
        <v>High Performer</v>
      </c>
    </row>
    <row r="54" spans="1:83" x14ac:dyDescent="0.3">
      <c r="A54" s="9">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s="10" t="str">
        <f t="shared" si="0"/>
        <v>Bottom Performer</v>
      </c>
    </row>
    <row r="55" spans="1:83" x14ac:dyDescent="0.3">
      <c r="A55" s="9">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s="10" t="str">
        <f t="shared" si="0"/>
        <v>Low Performer</v>
      </c>
    </row>
    <row r="56" spans="1:83" x14ac:dyDescent="0.3">
      <c r="A56" s="9">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s="10" t="str">
        <f t="shared" si="0"/>
        <v>High Performer</v>
      </c>
    </row>
    <row r="57" spans="1:83" x14ac:dyDescent="0.3">
      <c r="A57" s="9">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s="10" t="str">
        <f t="shared" si="0"/>
        <v>Low Performer</v>
      </c>
    </row>
    <row r="58" spans="1:83" x14ac:dyDescent="0.3">
      <c r="A58" s="9">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s="10" t="str">
        <f t="shared" si="0"/>
        <v>Average Performer</v>
      </c>
    </row>
    <row r="59" spans="1:83" x14ac:dyDescent="0.3">
      <c r="A59" s="9">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s="10" t="str">
        <f t="shared" si="0"/>
        <v>Average Performer</v>
      </c>
    </row>
    <row r="60" spans="1:83" x14ac:dyDescent="0.3">
      <c r="A60" s="9">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s="10" t="str">
        <f t="shared" si="0"/>
        <v>Bottom Performer</v>
      </c>
    </row>
    <row r="61" spans="1:83" x14ac:dyDescent="0.3">
      <c r="A61" s="9">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s="10" t="str">
        <f t="shared" si="0"/>
        <v>Bottom Performer</v>
      </c>
    </row>
    <row r="62" spans="1:83" x14ac:dyDescent="0.3">
      <c r="A62" s="14">
        <v>11108850</v>
      </c>
      <c r="B62" s="15" t="s">
        <v>764</v>
      </c>
      <c r="C62" s="15">
        <v>65</v>
      </c>
      <c r="D62" s="15">
        <v>89</v>
      </c>
      <c r="E62" s="15">
        <v>78</v>
      </c>
      <c r="F62" s="15">
        <v>40</v>
      </c>
      <c r="G62" s="15">
        <v>50</v>
      </c>
      <c r="H62" s="15">
        <v>63</v>
      </c>
      <c r="I62" s="15">
        <v>67</v>
      </c>
      <c r="J62" s="15">
        <v>43</v>
      </c>
      <c r="K62" s="15">
        <v>100</v>
      </c>
      <c r="L62" s="15" t="s">
        <v>182</v>
      </c>
      <c r="M62" s="15" t="s">
        <v>183</v>
      </c>
      <c r="N62" s="15" t="s">
        <v>109</v>
      </c>
      <c r="O62" s="15" t="s">
        <v>86</v>
      </c>
      <c r="P62" s="15" t="s">
        <v>765</v>
      </c>
      <c r="Q62" s="15" t="s">
        <v>766</v>
      </c>
      <c r="R62" s="15">
        <v>720</v>
      </c>
      <c r="S62" s="15">
        <v>3</v>
      </c>
      <c r="T62" s="15">
        <v>1</v>
      </c>
      <c r="U62" s="15">
        <v>25</v>
      </c>
      <c r="V62" s="15" t="s">
        <v>172</v>
      </c>
      <c r="W62" s="15" t="s">
        <v>767</v>
      </c>
      <c r="X62" s="15" t="s">
        <v>768</v>
      </c>
      <c r="Y62" s="15" t="s">
        <v>769</v>
      </c>
      <c r="Z62" s="15" t="s">
        <v>93</v>
      </c>
      <c r="AA62" s="15" t="s">
        <v>93</v>
      </c>
      <c r="AB62" s="15" t="s">
        <v>93</v>
      </c>
      <c r="AC62" s="15" t="s">
        <v>94</v>
      </c>
      <c r="AD62" s="15" t="s">
        <v>93</v>
      </c>
      <c r="AE62" s="15" t="s">
        <v>94</v>
      </c>
      <c r="AF62" s="15" t="s">
        <v>93</v>
      </c>
      <c r="AG62" s="15" t="s">
        <v>93</v>
      </c>
      <c r="AH62" s="15" t="s">
        <v>93</v>
      </c>
      <c r="AI62" s="15" t="s">
        <v>770</v>
      </c>
      <c r="AJ62" s="15" t="s">
        <v>96</v>
      </c>
      <c r="AK62" s="15"/>
      <c r="AL62" s="15" t="s">
        <v>97</v>
      </c>
      <c r="AM62" s="15" t="s">
        <v>118</v>
      </c>
      <c r="AN62" s="15" t="s">
        <v>93</v>
      </c>
      <c r="AO62" s="15" t="s">
        <v>93</v>
      </c>
      <c r="AP62" s="15" t="s">
        <v>93</v>
      </c>
      <c r="AQ62" s="15" t="s">
        <v>94</v>
      </c>
      <c r="AR62" s="15" t="s">
        <v>99</v>
      </c>
      <c r="AS62" s="15" t="s">
        <v>94</v>
      </c>
      <c r="AT62" s="15" t="s">
        <v>93</v>
      </c>
      <c r="AU62" s="15" t="s">
        <v>771</v>
      </c>
      <c r="AV62" s="15" t="s">
        <v>93</v>
      </c>
      <c r="AW62" s="15" t="s">
        <v>772</v>
      </c>
      <c r="AX62" s="15" t="s">
        <v>94</v>
      </c>
      <c r="AY62" s="15"/>
      <c r="AZ62" s="15" t="s">
        <v>93</v>
      </c>
      <c r="BA62" s="15" t="s">
        <v>94</v>
      </c>
      <c r="BB62" s="15" t="s">
        <v>93</v>
      </c>
      <c r="BC62" s="15" t="s">
        <v>94</v>
      </c>
      <c r="BD62" s="15" t="s">
        <v>93</v>
      </c>
      <c r="BE62" s="15" t="s">
        <v>94</v>
      </c>
      <c r="BF62" s="15" t="s">
        <v>93</v>
      </c>
      <c r="BG62" s="15" t="s">
        <v>94</v>
      </c>
      <c r="BH62" s="15" t="s">
        <v>94</v>
      </c>
      <c r="BI62" s="15" t="s">
        <v>93</v>
      </c>
      <c r="BJ62" s="15" t="s">
        <v>93</v>
      </c>
      <c r="BK62" s="15" t="s">
        <v>773</v>
      </c>
      <c r="BL62" s="15" t="s">
        <v>774</v>
      </c>
      <c r="BM62" s="15" t="s">
        <v>104</v>
      </c>
      <c r="BN62" s="15"/>
      <c r="BO62" s="15" t="s">
        <v>94</v>
      </c>
      <c r="BP62" s="15" t="s">
        <v>93</v>
      </c>
      <c r="BQ62" s="15" t="s">
        <v>93</v>
      </c>
      <c r="BR62" s="15" t="s">
        <v>775</v>
      </c>
      <c r="BS62" s="15"/>
      <c r="BT62" s="15" t="s">
        <v>93</v>
      </c>
      <c r="BU62" s="15" t="s">
        <v>93</v>
      </c>
      <c r="BV62" s="15" t="s">
        <v>94</v>
      </c>
      <c r="BW62" s="15" t="s">
        <v>94</v>
      </c>
      <c r="BX62" s="15" t="s">
        <v>94</v>
      </c>
      <c r="BY62" s="15" t="s">
        <v>99</v>
      </c>
      <c r="BZ62" s="15" t="s">
        <v>94</v>
      </c>
      <c r="CA62" s="15" t="s">
        <v>94</v>
      </c>
      <c r="CB62" s="15">
        <v>6</v>
      </c>
      <c r="CC62" s="15" t="s">
        <v>93</v>
      </c>
      <c r="CD62" s="15">
        <v>7</v>
      </c>
      <c r="CE62" s="16" t="str">
        <f t="shared" si="0"/>
        <v>Low Performer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E241-55D8-4CE2-AD05-09D578A51681}">
  <dimension ref="A3:G103"/>
  <sheetViews>
    <sheetView topLeftCell="B1" workbookViewId="0">
      <selection activeCell="C39" sqref="C39"/>
    </sheetView>
  </sheetViews>
  <sheetFormatPr defaultRowHeight="14.4" x14ac:dyDescent="0.3"/>
  <cols>
    <col min="1" max="1" width="17.21875" bestFit="1" customWidth="1"/>
    <col min="2" max="2" width="25.5546875" bestFit="1" customWidth="1"/>
    <col min="3" max="3" width="22.6640625" bestFit="1" customWidth="1"/>
    <col min="4" max="4" width="18.88671875" customWidth="1"/>
    <col min="5" max="5" width="18" customWidth="1"/>
    <col min="6" max="6" width="14.6640625" customWidth="1"/>
    <col min="7" max="7" width="14.33203125" customWidth="1"/>
    <col min="8" max="8" width="17" bestFit="1" customWidth="1"/>
    <col min="9" max="9" width="21" bestFit="1" customWidth="1"/>
    <col min="10" max="10" width="24.6640625" bestFit="1" customWidth="1"/>
    <col min="11" max="11" width="25.77734375" bestFit="1" customWidth="1"/>
  </cols>
  <sheetData>
    <row r="3" spans="2:7" ht="21" customHeight="1" x14ac:dyDescent="0.3">
      <c r="B3" s="3" t="s">
        <v>784</v>
      </c>
      <c r="C3" s="3" t="s">
        <v>783</v>
      </c>
    </row>
    <row r="4" spans="2:7" ht="21" customHeight="1" x14ac:dyDescent="0.3">
      <c r="B4" s="3" t="s">
        <v>780</v>
      </c>
      <c r="C4" t="s">
        <v>776</v>
      </c>
      <c r="D4" t="s">
        <v>777</v>
      </c>
      <c r="E4" t="s">
        <v>779</v>
      </c>
      <c r="F4" t="s">
        <v>778</v>
      </c>
      <c r="G4" t="s">
        <v>781</v>
      </c>
    </row>
    <row r="5" spans="2:7" ht="21" customHeight="1" x14ac:dyDescent="0.3">
      <c r="B5" s="4" t="s">
        <v>433</v>
      </c>
      <c r="C5" s="5">
        <v>0.2857142857142857</v>
      </c>
      <c r="D5" s="5">
        <v>0.14285714285714285</v>
      </c>
      <c r="E5" s="5">
        <v>0.14285714285714285</v>
      </c>
      <c r="F5" s="5">
        <v>0.42857142857142855</v>
      </c>
      <c r="G5" s="5">
        <v>1</v>
      </c>
    </row>
    <row r="6" spans="2:7" ht="21" customHeight="1" x14ac:dyDescent="0.3">
      <c r="B6" s="4" t="s">
        <v>85</v>
      </c>
      <c r="C6" s="5">
        <v>0.21052631578947367</v>
      </c>
      <c r="D6" s="5">
        <v>0.47368421052631576</v>
      </c>
      <c r="E6" s="5">
        <v>5.2631578947368418E-2</v>
      </c>
      <c r="F6" s="5">
        <v>0.26315789473684209</v>
      </c>
      <c r="G6" s="5">
        <v>1</v>
      </c>
    </row>
    <row r="7" spans="2:7" ht="21" customHeight="1" x14ac:dyDescent="0.3">
      <c r="B7" s="4" t="s">
        <v>169</v>
      </c>
      <c r="C7" s="5">
        <v>0.1111111111111111</v>
      </c>
      <c r="D7" s="5">
        <v>0.3888888888888889</v>
      </c>
      <c r="E7" s="5">
        <v>0.16666666666666666</v>
      </c>
      <c r="F7" s="5">
        <v>0.33333333333333331</v>
      </c>
      <c r="G7" s="5">
        <v>1</v>
      </c>
    </row>
    <row r="8" spans="2:7" ht="21" customHeight="1" x14ac:dyDescent="0.3">
      <c r="B8" s="4" t="s">
        <v>109</v>
      </c>
      <c r="C8" s="5">
        <v>0.11764705882352941</v>
      </c>
      <c r="D8" s="5">
        <v>0.58823529411764708</v>
      </c>
      <c r="E8" s="5">
        <v>0.17647058823529413</v>
      </c>
      <c r="F8" s="5">
        <v>0.11764705882352941</v>
      </c>
      <c r="G8" s="5">
        <v>1</v>
      </c>
    </row>
    <row r="9" spans="2:7" ht="21" customHeight="1" x14ac:dyDescent="0.3">
      <c r="B9" s="4" t="s">
        <v>781</v>
      </c>
      <c r="C9" s="5">
        <v>0.16393442622950818</v>
      </c>
      <c r="D9" s="5">
        <v>0.44262295081967212</v>
      </c>
      <c r="E9" s="5">
        <v>0.13114754098360656</v>
      </c>
      <c r="F9" s="5">
        <v>0.26229508196721313</v>
      </c>
      <c r="G9" s="5">
        <v>1</v>
      </c>
    </row>
    <row r="22" spans="2:3" x14ac:dyDescent="0.3">
      <c r="B22" s="3" t="s">
        <v>780</v>
      </c>
      <c r="C22" t="s">
        <v>786</v>
      </c>
    </row>
    <row r="23" spans="2:3" x14ac:dyDescent="0.3">
      <c r="B23" s="4" t="s">
        <v>433</v>
      </c>
      <c r="C23" s="8">
        <v>71.571428571428569</v>
      </c>
    </row>
    <row r="24" spans="2:3" x14ac:dyDescent="0.3">
      <c r="B24" s="4" t="s">
        <v>85</v>
      </c>
      <c r="C24" s="8">
        <v>76.736842105263165</v>
      </c>
    </row>
    <row r="25" spans="2:3" x14ac:dyDescent="0.3">
      <c r="B25" s="4" t="s">
        <v>169</v>
      </c>
      <c r="C25" s="8">
        <v>66.611111111111114</v>
      </c>
    </row>
    <row r="26" spans="2:3" x14ac:dyDescent="0.3">
      <c r="B26" s="4" t="s">
        <v>109</v>
      </c>
      <c r="C26" s="8">
        <v>71.82352941176471</v>
      </c>
    </row>
    <row r="27" spans="2:3" x14ac:dyDescent="0.3">
      <c r="B27" s="4" t="s">
        <v>781</v>
      </c>
      <c r="C27" s="8">
        <v>71.786885245901644</v>
      </c>
    </row>
    <row r="46" spans="1:2" x14ac:dyDescent="0.3">
      <c r="A46" s="3" t="s">
        <v>780</v>
      </c>
      <c r="B46" t="s">
        <v>782</v>
      </c>
    </row>
    <row r="47" spans="1:2" x14ac:dyDescent="0.3">
      <c r="A47" s="4" t="s">
        <v>82</v>
      </c>
      <c r="B47" s="8">
        <v>58</v>
      </c>
    </row>
    <row r="48" spans="1:2" x14ac:dyDescent="0.3">
      <c r="A48" s="4" t="s">
        <v>140</v>
      </c>
      <c r="B48" s="8">
        <v>68.5</v>
      </c>
    </row>
    <row r="49" spans="1:2" x14ac:dyDescent="0.3">
      <c r="A49" s="4" t="s">
        <v>454</v>
      </c>
      <c r="B49" s="8">
        <v>85.666666666666671</v>
      </c>
    </row>
    <row r="50" spans="1:2" x14ac:dyDescent="0.3">
      <c r="A50" s="4" t="s">
        <v>106</v>
      </c>
      <c r="B50" s="8">
        <v>72.333333333333329</v>
      </c>
    </row>
    <row r="51" spans="1:2" x14ac:dyDescent="0.3">
      <c r="A51" s="4" t="s">
        <v>329</v>
      </c>
      <c r="B51" s="8">
        <v>78</v>
      </c>
    </row>
    <row r="52" spans="1:2" x14ac:dyDescent="0.3">
      <c r="A52" s="4" t="s">
        <v>195</v>
      </c>
      <c r="B52" s="8">
        <v>73</v>
      </c>
    </row>
    <row r="53" spans="1:2" x14ac:dyDescent="0.3">
      <c r="A53" s="4" t="s">
        <v>166</v>
      </c>
      <c r="B53" s="8">
        <v>83.333333333333329</v>
      </c>
    </row>
    <row r="54" spans="1:2" x14ac:dyDescent="0.3">
      <c r="A54" s="4" t="s">
        <v>305</v>
      </c>
      <c r="B54" s="8">
        <v>63.5</v>
      </c>
    </row>
    <row r="55" spans="1:2" x14ac:dyDescent="0.3">
      <c r="A55" s="4" t="s">
        <v>125</v>
      </c>
      <c r="B55" s="8">
        <v>72</v>
      </c>
    </row>
    <row r="56" spans="1:2" x14ac:dyDescent="0.3">
      <c r="A56" s="4" t="s">
        <v>258</v>
      </c>
      <c r="B56" s="8">
        <v>66</v>
      </c>
    </row>
    <row r="57" spans="1:2" x14ac:dyDescent="0.3">
      <c r="A57" s="4" t="s">
        <v>634</v>
      </c>
      <c r="B57" s="8">
        <v>69</v>
      </c>
    </row>
    <row r="58" spans="1:2" x14ac:dyDescent="0.3">
      <c r="A58" s="4" t="s">
        <v>599</v>
      </c>
      <c r="B58" s="8">
        <v>86</v>
      </c>
    </row>
    <row r="59" spans="1:2" x14ac:dyDescent="0.3">
      <c r="A59" s="4" t="s">
        <v>153</v>
      </c>
      <c r="B59" s="8">
        <v>69.333333333333329</v>
      </c>
    </row>
    <row r="60" spans="1:2" x14ac:dyDescent="0.3">
      <c r="A60" s="4" t="s">
        <v>563</v>
      </c>
      <c r="B60" s="8">
        <v>52</v>
      </c>
    </row>
    <row r="61" spans="1:2" x14ac:dyDescent="0.3">
      <c r="A61" s="4" t="s">
        <v>487</v>
      </c>
      <c r="B61" s="8">
        <v>90.666666666666671</v>
      </c>
    </row>
    <row r="62" spans="1:2" x14ac:dyDescent="0.3">
      <c r="A62" s="4" t="s">
        <v>529</v>
      </c>
      <c r="B62" s="8">
        <v>71</v>
      </c>
    </row>
    <row r="63" spans="1:2" x14ac:dyDescent="0.3">
      <c r="A63" s="4" t="s">
        <v>443</v>
      </c>
      <c r="B63" s="8">
        <v>69</v>
      </c>
    </row>
    <row r="64" spans="1:2" x14ac:dyDescent="0.3">
      <c r="A64" s="4" t="s">
        <v>693</v>
      </c>
      <c r="B64" s="8">
        <v>53</v>
      </c>
    </row>
    <row r="65" spans="1:2" x14ac:dyDescent="0.3">
      <c r="A65" s="4" t="s">
        <v>702</v>
      </c>
      <c r="B65" s="8">
        <v>94</v>
      </c>
    </row>
    <row r="66" spans="1:2" x14ac:dyDescent="0.3">
      <c r="A66" s="4" t="s">
        <v>716</v>
      </c>
      <c r="B66" s="8">
        <v>74.5</v>
      </c>
    </row>
    <row r="67" spans="1:2" x14ac:dyDescent="0.3">
      <c r="A67" s="4" t="s">
        <v>764</v>
      </c>
      <c r="B67" s="8">
        <v>65</v>
      </c>
    </row>
    <row r="68" spans="1:2" x14ac:dyDescent="0.3">
      <c r="A68" s="4" t="s">
        <v>736</v>
      </c>
      <c r="B68" s="8">
        <v>48.333333333333336</v>
      </c>
    </row>
    <row r="69" spans="1:2" x14ac:dyDescent="0.3">
      <c r="A69" s="4" t="s">
        <v>781</v>
      </c>
      <c r="B69" s="8">
        <v>71.786885245901644</v>
      </c>
    </row>
    <row r="97" spans="1:4" x14ac:dyDescent="0.3">
      <c r="A97" s="3" t="s">
        <v>784</v>
      </c>
      <c r="B97" s="3" t="s">
        <v>783</v>
      </c>
    </row>
    <row r="98" spans="1:4" x14ac:dyDescent="0.3">
      <c r="A98" s="3" t="s">
        <v>780</v>
      </c>
      <c r="B98" t="s">
        <v>776</v>
      </c>
      <c r="C98" t="s">
        <v>778</v>
      </c>
      <c r="D98" t="s">
        <v>781</v>
      </c>
    </row>
    <row r="99" spans="1:4" x14ac:dyDescent="0.3">
      <c r="A99" s="4" t="s">
        <v>433</v>
      </c>
      <c r="B99" s="7">
        <v>2</v>
      </c>
      <c r="C99" s="7">
        <v>3</v>
      </c>
      <c r="D99" s="7">
        <v>5</v>
      </c>
    </row>
    <row r="100" spans="1:4" x14ac:dyDescent="0.3">
      <c r="A100" s="4" t="s">
        <v>85</v>
      </c>
      <c r="B100" s="7">
        <v>4</v>
      </c>
      <c r="C100" s="7">
        <v>5</v>
      </c>
      <c r="D100" s="7">
        <v>9</v>
      </c>
    </row>
    <row r="101" spans="1:4" x14ac:dyDescent="0.3">
      <c r="A101" s="4" t="s">
        <v>169</v>
      </c>
      <c r="B101" s="7">
        <v>2</v>
      </c>
      <c r="C101" s="7">
        <v>6</v>
      </c>
      <c r="D101" s="7">
        <v>8</v>
      </c>
    </row>
    <row r="102" spans="1:4" x14ac:dyDescent="0.3">
      <c r="A102" s="4" t="s">
        <v>109</v>
      </c>
      <c r="B102" s="7">
        <v>2</v>
      </c>
      <c r="C102" s="7">
        <v>2</v>
      </c>
      <c r="D102" s="7">
        <v>4</v>
      </c>
    </row>
    <row r="103" spans="1:4" x14ac:dyDescent="0.3">
      <c r="A103" s="4" t="s">
        <v>781</v>
      </c>
      <c r="B103" s="7">
        <v>10</v>
      </c>
      <c r="C103" s="7">
        <v>16</v>
      </c>
      <c r="D103" s="7">
        <v>26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28C5E-D39F-4C2C-8EFB-7E528B30328E}">
  <dimension ref="F8:G17"/>
  <sheetViews>
    <sheetView workbookViewId="0">
      <selection activeCell="A6" sqref="A6"/>
    </sheetView>
  </sheetViews>
  <sheetFormatPr defaultRowHeight="14.4" x14ac:dyDescent="0.3"/>
  <cols>
    <col min="1" max="1" width="24.77734375" bestFit="1" customWidth="1"/>
    <col min="2" max="2" width="19.5546875" customWidth="1"/>
    <col min="6" max="6" width="21.44140625" bestFit="1" customWidth="1"/>
    <col min="7" max="7" width="21.6640625" customWidth="1"/>
  </cols>
  <sheetData>
    <row r="8" spans="6:7" ht="16.8" customHeight="1" x14ac:dyDescent="0.3"/>
    <row r="9" spans="6:7" ht="16.8" customHeight="1" x14ac:dyDescent="0.3">
      <c r="F9" s="18" t="s">
        <v>787</v>
      </c>
      <c r="G9" s="18" t="s">
        <v>788</v>
      </c>
    </row>
    <row r="10" spans="6:7" ht="16.8" customHeight="1" x14ac:dyDescent="0.3">
      <c r="F10" s="6" t="s">
        <v>2</v>
      </c>
      <c r="G10" s="17">
        <f>AVERAGE(evaluation_table[Evaluation_Score])</f>
        <v>71.786885245901644</v>
      </c>
    </row>
    <row r="11" spans="6:7" ht="16.8" customHeight="1" x14ac:dyDescent="0.3">
      <c r="F11" s="6" t="s">
        <v>789</v>
      </c>
      <c r="G11" s="17">
        <f>AVERAGE(evaluation_table[STORE AMBIANCE])</f>
        <v>88.819672131147541</v>
      </c>
    </row>
    <row r="12" spans="6:7" ht="16.8" customHeight="1" x14ac:dyDescent="0.3">
      <c r="F12" s="6" t="s">
        <v>790</v>
      </c>
      <c r="G12" s="17">
        <f>AVERAGE(evaluation_table[FIRST IMPRESSIONS])</f>
        <v>82.590163934426229</v>
      </c>
    </row>
    <row r="13" spans="6:7" ht="16.8" customHeight="1" x14ac:dyDescent="0.3">
      <c r="F13" s="6" t="s">
        <v>791</v>
      </c>
      <c r="G13" s="17">
        <f>AVERAGE(evaluation_table[DISCOVERY])</f>
        <v>67.540983606557376</v>
      </c>
    </row>
    <row r="14" spans="6:7" ht="16.8" customHeight="1" x14ac:dyDescent="0.3">
      <c r="F14" s="6" t="s">
        <v>792</v>
      </c>
      <c r="G14" s="17">
        <f>AVERAGE(evaluation_table[RECOMMENDATIONS])</f>
        <v>60.081967213114751</v>
      </c>
    </row>
    <row r="15" spans="6:7" ht="16.8" customHeight="1" x14ac:dyDescent="0.3">
      <c r="F15" s="6" t="s">
        <v>793</v>
      </c>
      <c r="G15" s="17">
        <f>AVERAGE(evaluation_table[TRIAL EXPERIENCE &amp; UPSELL])</f>
        <v>65.360655737704917</v>
      </c>
    </row>
    <row r="16" spans="6:7" ht="16.8" customHeight="1" x14ac:dyDescent="0.3">
      <c r="F16" s="6" t="s">
        <v>794</v>
      </c>
      <c r="G16" s="17">
        <f>AVERAGE(evaluation_table[OBJECTION HANDLING])</f>
        <v>76.52459016393442</v>
      </c>
    </row>
    <row r="17" spans="6:7" ht="16.8" customHeight="1" x14ac:dyDescent="0.3">
      <c r="F17" s="6" t="s">
        <v>795</v>
      </c>
      <c r="G17" s="17">
        <f>AVERAGE(evaluation_table[CLOSURE &amp; CARE])</f>
        <v>55.16393442622951</v>
      </c>
    </row>
  </sheetData>
  <conditionalFormatting sqref="F10:G17">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CX_Junior BI Analyst_Test</vt:lpstr>
      <vt:lpstr>Pivot Table</vt:lpstr>
      <vt:lpstr>Heatmap Criteria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Jayesh Malviya</cp:lastModifiedBy>
  <cp:revision/>
  <dcterms:created xsi:type="dcterms:W3CDTF">2024-01-18T01:14:11Z</dcterms:created>
  <dcterms:modified xsi:type="dcterms:W3CDTF">2025-08-23T21:08:23Z</dcterms:modified>
</cp:coreProperties>
</file>