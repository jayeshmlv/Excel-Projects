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jayesh\Desktop\Excel CoachX\Projects\"/>
    </mc:Choice>
  </mc:AlternateContent>
  <xr:revisionPtr revIDLastSave="0" documentId="13_ncr:1_{E40DF396-94CE-4ACE-9EDF-5159A0C31AA0}" xr6:coauthVersionLast="47" xr6:coauthVersionMax="47" xr10:uidLastSave="{00000000-0000-0000-0000-000000000000}"/>
  <bookViews>
    <workbookView xWindow="-108" yWindow="-108" windowWidth="23256" windowHeight="12456" activeTab="1" xr2:uid="{00000000-000D-0000-FFFF-FFFF00000000}"/>
  </bookViews>
  <sheets>
    <sheet name="Information" sheetId="2" r:id="rId1"/>
    <sheet name="Depreciation Calculator" sheetId="1" r:id="rId2"/>
  </sheets>
  <calcPr calcId="191029"/>
</workbook>
</file>

<file path=xl/calcChain.xml><?xml version="1.0" encoding="utf-8"?>
<calcChain xmlns="http://schemas.openxmlformats.org/spreadsheetml/2006/main">
  <c r="C27" i="1" l="1"/>
  <c r="D23" i="1"/>
  <c r="D20" i="1"/>
  <c r="D8" i="1"/>
  <c r="C26" i="1" l="1"/>
  <c r="D27" i="1" s="1"/>
  <c r="D11" i="1"/>
  <c r="J5" i="1" s="1"/>
  <c r="D12" i="1" l="1"/>
  <c r="D13" i="1"/>
  <c r="I5" i="1" l="1"/>
  <c r="H6" i="1"/>
  <c r="J6" i="1" s="1"/>
  <c r="D14" i="1"/>
  <c r="D15" i="1" s="1"/>
  <c r="D28" i="1"/>
  <c r="H7" i="1" l="1"/>
  <c r="J7" i="1" s="1"/>
  <c r="C28" i="1"/>
  <c r="D29" i="1" s="1"/>
  <c r="H8" i="1" l="1"/>
  <c r="J8" i="1" s="1"/>
  <c r="I6" i="1"/>
  <c r="C29" i="1"/>
  <c r="D30" i="1" s="1"/>
  <c r="H9" i="1" l="1"/>
  <c r="J9" i="1" s="1"/>
  <c r="I7" i="1"/>
  <c r="C30" i="1"/>
  <c r="D31" i="1" s="1"/>
  <c r="I8" i="1" l="1"/>
  <c r="H10" i="1"/>
  <c r="J10" i="1" s="1"/>
  <c r="C31" i="1"/>
  <c r="D32" i="1" s="1"/>
  <c r="I9" i="1" l="1"/>
  <c r="H11" i="1"/>
  <c r="J11" i="1" s="1"/>
  <c r="C32" i="1"/>
  <c r="D33" i="1" s="1"/>
  <c r="H12" i="1" l="1"/>
  <c r="J12" i="1" s="1"/>
  <c r="I10" i="1"/>
  <c r="C33" i="1"/>
  <c r="D34" i="1" s="1"/>
  <c r="H13" i="1" l="1"/>
  <c r="J13" i="1" s="1"/>
  <c r="I12" i="1"/>
  <c r="I11" i="1"/>
  <c r="C34" i="1"/>
  <c r="D35" i="1" s="1"/>
  <c r="H14" i="1" l="1"/>
  <c r="J14" i="1" s="1"/>
  <c r="I13" i="1"/>
  <c r="C35" i="1"/>
  <c r="D36" i="1" s="1"/>
  <c r="I14" i="1" l="1"/>
  <c r="C36" i="1"/>
  <c r="D37" i="1" s="1"/>
  <c r="C37" i="1" l="1"/>
  <c r="D38" i="1" s="1"/>
  <c r="C38" i="1" l="1"/>
  <c r="D39" i="1" s="1"/>
  <c r="C39" i="1" l="1"/>
  <c r="D40" i="1" s="1"/>
  <c r="C40" i="1" l="1"/>
  <c r="D41" i="1" s="1"/>
  <c r="C41" i="1" l="1"/>
  <c r="D42" i="1" s="1"/>
  <c r="C42" i="1" l="1"/>
  <c r="D43" i="1" s="1"/>
  <c r="C43" i="1" l="1"/>
  <c r="D44" i="1" s="1"/>
  <c r="C44" i="1" l="1"/>
  <c r="D45" i="1" s="1"/>
  <c r="C4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MD</author>
  </authors>
  <commentList>
    <comment ref="D9" authorId="0" shapeId="0" xr:uid="{00000000-0006-0000-0100-000001000000}">
      <text>
        <r>
          <rPr>
            <b/>
            <sz val="9"/>
            <color indexed="81"/>
            <rFont val="Tahoma"/>
            <family val="2"/>
          </rPr>
          <t>In case of no scrap value, please put zero value.</t>
        </r>
      </text>
    </comment>
    <comment ref="D15" authorId="1" shapeId="0" xr:uid="{00000000-0006-0000-0100-000002000000}">
      <text>
        <r>
          <rPr>
            <b/>
            <sz val="9"/>
            <color indexed="81"/>
            <rFont val="Tahoma"/>
            <family val="2"/>
          </rPr>
          <t>Accuracy Check - This cell must be zero.</t>
        </r>
      </text>
    </comment>
    <comment ref="D21" authorId="0" shapeId="0" xr:uid="{00000000-0006-0000-0100-000003000000}">
      <text>
        <r>
          <rPr>
            <b/>
            <sz val="9"/>
            <color indexed="81"/>
            <rFont val="Tahoma"/>
            <family val="2"/>
          </rPr>
          <t>In case of diminishing depreciation scrap value cannot be zero</t>
        </r>
      </text>
    </comment>
  </commentList>
</comments>
</file>

<file path=xl/sharedStrings.xml><?xml version="1.0" encoding="utf-8"?>
<sst xmlns="http://schemas.openxmlformats.org/spreadsheetml/2006/main" count="28" uniqueCount="23">
  <si>
    <t>Asset Price</t>
  </si>
  <si>
    <t>Scrap Value</t>
  </si>
  <si>
    <t>Estimated Life Span (Years)</t>
  </si>
  <si>
    <t>Book Value</t>
  </si>
  <si>
    <t>Depreciated Book Value After Its Life Span</t>
  </si>
  <si>
    <t>Total Depreciation For Its Life Span</t>
  </si>
  <si>
    <t>Balance Amount</t>
  </si>
  <si>
    <t>Year</t>
  </si>
  <si>
    <t>Depreciation Calculator</t>
  </si>
  <si>
    <t>Depreciation / Year as per Straight Line Method</t>
  </si>
  <si>
    <t>Rate of Depreciation as per Diminishing Balance Method</t>
  </si>
  <si>
    <t>Asset Cost</t>
  </si>
  <si>
    <t>Depreciation Percentage</t>
  </si>
  <si>
    <t>Additonal Asset Cost</t>
  </si>
  <si>
    <t xml:space="preserve">Additonal Asset Cost </t>
  </si>
  <si>
    <t>Depreciation Schedule</t>
  </si>
  <si>
    <t>Diminishing Balance Method</t>
  </si>
  <si>
    <t>Straight Line Method</t>
  </si>
  <si>
    <t>Year on Year Depreciation Amount</t>
  </si>
  <si>
    <t>Coachx.live</t>
  </si>
  <si>
    <t>Opening Book Value</t>
  </si>
  <si>
    <t>Closing Book Value</t>
  </si>
  <si>
    <t>Depreciated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</si>
</sst>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_ ;[Red]\-[$$-409]#,##0.00\ "/>
    <numFmt numFmtId="165" formatCode="[$$-409]#,##0.00"/>
  </numFmts>
  <fonts count="12" x14ac:knownFonts="1">
    <font>
      <sz val="11"/>
      <color theme="1"/>
      <name val="Calibri"/>
      <family val="2"/>
      <scheme val="minor"/>
    </font>
    <font>
      <sz val="14"/>
      <color theme="1"/>
      <name val="Times New Roman"/>
      <family val="1"/>
    </font>
    <font>
      <b/>
      <sz val="9"/>
      <color indexed="81"/>
      <name val="Tahoma"/>
      <family val="2"/>
    </font>
    <font>
      <u/>
      <sz val="11"/>
      <color theme="10"/>
      <name val="Calibri"/>
      <family val="2"/>
    </font>
    <font>
      <sz val="14"/>
      <color theme="0"/>
      <name val="Times New Roman"/>
      <family val="1"/>
    </font>
    <font>
      <b/>
      <sz val="20"/>
      <color theme="0"/>
      <name val="Cambria"/>
      <family val="1"/>
      <scheme val="major"/>
    </font>
    <font>
      <b/>
      <sz val="14"/>
      <color theme="0"/>
      <name val="Times New Roman"/>
      <family val="1"/>
    </font>
    <font>
      <u/>
      <sz val="25"/>
      <color rgb="FFFFFF00"/>
      <name val="Lucida Calligraphy"/>
      <family val="4"/>
    </font>
    <font>
      <b/>
      <sz val="20"/>
      <color theme="0"/>
      <name val="Times New Roman"/>
      <family val="1"/>
    </font>
    <font>
      <b/>
      <sz val="18"/>
      <color theme="0"/>
      <name val="Times New Roman"/>
      <family val="1"/>
    </font>
    <font>
      <b/>
      <sz val="14"/>
      <color theme="1"/>
      <name val="Calibri"/>
      <family val="2"/>
      <scheme val="minor"/>
    </font>
    <font>
      <sz val="14"/>
      <color theme="1"/>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tint="-0.499984740745262"/>
        <bgColor indexed="64"/>
      </patternFill>
    </fill>
    <fill>
      <patternFill patternType="solid">
        <fgColor theme="3" tint="0.39997558519241921"/>
        <bgColor indexed="64"/>
      </patternFill>
    </fill>
  </fills>
  <borders count="15">
    <border>
      <left/>
      <right/>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33">
    <xf numFmtId="0" fontId="0" fillId="0" borderId="0" xfId="0"/>
    <xf numFmtId="0" fontId="1" fillId="0" borderId="0" xfId="0" applyFont="1" applyAlignment="1">
      <alignment horizontal="center" vertical="center"/>
    </xf>
    <xf numFmtId="0" fontId="4"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xf>
    <xf numFmtId="164" fontId="6" fillId="2" borderId="1" xfId="0" applyNumberFormat="1" applyFont="1" applyFill="1" applyBorder="1" applyAlignment="1">
      <alignment horizontal="center" vertical="center"/>
    </xf>
    <xf numFmtId="0" fontId="4" fillId="3" borderId="0" xfId="0" applyFont="1" applyFill="1" applyAlignment="1">
      <alignment horizontal="center" vertical="center"/>
    </xf>
    <xf numFmtId="10" fontId="6" fillId="2"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0" fontId="1" fillId="3" borderId="0" xfId="0" applyFont="1" applyFill="1" applyAlignment="1">
      <alignment horizontal="center" vertical="center"/>
    </xf>
    <xf numFmtId="164" fontId="6" fillId="4"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164" fontId="1" fillId="0" borderId="0" xfId="0" applyNumberFormat="1" applyFont="1" applyAlignment="1">
      <alignment horizontal="center" vertical="center"/>
    </xf>
    <xf numFmtId="164" fontId="11" fillId="0" borderId="6" xfId="0" applyNumberFormat="1" applyFont="1" applyBorder="1" applyAlignment="1">
      <alignment horizontal="center" vertical="center"/>
    </xf>
    <xf numFmtId="0" fontId="11" fillId="0" borderId="7" xfId="0" applyFont="1" applyBorder="1" applyAlignment="1">
      <alignment horizontal="center" vertical="center"/>
    </xf>
    <xf numFmtId="164" fontId="11" fillId="0" borderId="8" xfId="0" applyNumberFormat="1" applyFont="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1" fillId="0" borderId="12" xfId="0" applyFont="1" applyBorder="1" applyAlignment="1">
      <alignment horizontal="center" vertical="center"/>
    </xf>
    <xf numFmtId="164" fontId="11" fillId="0" borderId="13" xfId="0" applyNumberFormat="1" applyFont="1" applyBorder="1" applyAlignment="1">
      <alignment horizontal="center" vertical="center"/>
    </xf>
    <xf numFmtId="164" fontId="11" fillId="0" borderId="14" xfId="0" applyNumberFormat="1" applyFont="1" applyBorder="1" applyAlignment="1">
      <alignment horizontal="center" vertical="center"/>
    </xf>
    <xf numFmtId="0" fontId="6" fillId="2" borderId="1" xfId="0" applyFont="1" applyFill="1" applyBorder="1" applyAlignment="1">
      <alignment horizontal="right" vertical="center" wrapText="1" indent="4"/>
    </xf>
    <xf numFmtId="0" fontId="9" fillId="2" borderId="1" xfId="0" applyFont="1" applyFill="1" applyBorder="1" applyAlignment="1">
      <alignment horizontal="center" vertical="center"/>
    </xf>
    <xf numFmtId="0" fontId="6" fillId="2" borderId="1" xfId="0" applyFont="1" applyFill="1" applyBorder="1" applyAlignment="1">
      <alignment horizontal="right" vertical="center" indent="4"/>
    </xf>
    <xf numFmtId="0" fontId="7" fillId="2" borderId="1" xfId="1" applyFont="1" applyFill="1" applyBorder="1" applyAlignment="1" applyProtection="1">
      <alignment horizontal="center" vertical="center"/>
    </xf>
    <xf numFmtId="0" fontId="5"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6" fillId="2" borderId="4" xfId="0" applyFont="1" applyFill="1" applyBorder="1" applyAlignment="1">
      <alignment horizontal="right" vertical="center" indent="4"/>
    </xf>
    <xf numFmtId="0" fontId="6" fillId="2" borderId="5" xfId="0" applyFont="1" applyFill="1" applyBorder="1" applyAlignment="1">
      <alignment horizontal="right" vertical="center" indent="4"/>
    </xf>
    <xf numFmtId="0" fontId="8" fillId="2" borderId="1" xfId="0" applyFont="1" applyFill="1" applyBorder="1" applyAlignment="1">
      <alignment horizontal="center" vertical="center"/>
    </xf>
    <xf numFmtId="165" fontId="1" fillId="0" borderId="0" xfId="0" applyNumberFormat="1" applyFont="1" applyAlignment="1">
      <alignment horizontal="center" vertical="center"/>
    </xf>
  </cellXfs>
  <cellStyles count="2">
    <cellStyle name="Hyperlink" xfId="1" builtinId="8"/>
    <cellStyle name="Normal" xfId="0" builtinId="0"/>
  </cellStyles>
  <dxfs count="8">
    <dxf>
      <font>
        <b val="0"/>
        <i val="0"/>
        <strike val="0"/>
        <condense val="0"/>
        <extend val="0"/>
        <outline val="0"/>
        <shadow val="0"/>
        <u val="none"/>
        <vertAlign val="baseline"/>
        <sz val="14"/>
        <color theme="1"/>
        <name val="Calibri"/>
        <family val="2"/>
        <scheme val="minor"/>
      </font>
      <numFmt numFmtId="164" formatCode="[$$-409]#,##0.00_ ;[Red]\-[$$-409]#,##0.00\ "/>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minor"/>
      </font>
      <numFmt numFmtId="164" formatCode="[$$-409]#,##0.00_ ;[Red]\-[$$-409]#,##0.00\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minor"/>
      </font>
      <numFmt numFmtId="164" formatCode="[$$-409]#,##0.00_ ;[Red]\-[$$-409]#,##0.00\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Degrading Asset value Over Time as per Straight Line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'Depreciation Calculator'!$J$4</c:f>
              <c:strCache>
                <c:ptCount val="1"/>
                <c:pt idx="0">
                  <c:v>Closing Book Value</c:v>
                </c:pt>
              </c:strCache>
            </c:strRef>
          </c:tx>
          <c:spPr>
            <a:ln w="31750" cap="rnd">
              <a:solidFill>
                <a:schemeClr val="accent1"/>
              </a:solidFill>
              <a:round/>
            </a:ln>
            <a:effectLst>
              <a:outerShdw blurRad="40000" dist="23000" dir="5400000" rotWithShape="0">
                <a:srgbClr val="000000">
                  <a:alpha val="35000"/>
                </a:srgbClr>
              </a:outerShdw>
            </a:effectLst>
          </c:spPr>
          <c:marker>
            <c:symbol val="none"/>
          </c:marker>
          <c:cat>
            <c:numRef>
              <c:f>'Depreciation Calculator'!$G$5:$G$14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'Depreciation Calculator'!$J$5:$J$14</c:f>
              <c:numCache>
                <c:formatCode>[$$-409]#,##0.00_ ;[Red]\-[$$-409]#,##0.00\ </c:formatCode>
                <c:ptCount val="10"/>
                <c:pt idx="0">
                  <c:v>455000</c:v>
                </c:pt>
                <c:pt idx="1">
                  <c:v>410000</c:v>
                </c:pt>
                <c:pt idx="2">
                  <c:v>365000</c:v>
                </c:pt>
                <c:pt idx="3">
                  <c:v>320000</c:v>
                </c:pt>
                <c:pt idx="4">
                  <c:v>275000</c:v>
                </c:pt>
                <c:pt idx="5">
                  <c:v>230000</c:v>
                </c:pt>
                <c:pt idx="6">
                  <c:v>185000</c:v>
                </c:pt>
                <c:pt idx="7">
                  <c:v>140000</c:v>
                </c:pt>
                <c:pt idx="8">
                  <c:v>95000</c:v>
                </c:pt>
                <c:pt idx="9">
                  <c:v>50000</c:v>
                </c:pt>
              </c:numCache>
            </c:numRef>
          </c:val>
          <c:smooth val="0"/>
          <c:extLst>
            <c:ext xmlns:c16="http://schemas.microsoft.com/office/drawing/2014/chart" uri="{C3380CC4-5D6E-409C-BE32-E72D297353CC}">
              <c16:uniqueId val="{00000000-4737-4FB3-A6A1-F914B65C908F}"/>
            </c:ext>
          </c:extLst>
        </c:ser>
        <c:dLbls>
          <c:showLegendKey val="0"/>
          <c:showVal val="0"/>
          <c:showCatName val="0"/>
          <c:showSerName val="0"/>
          <c:showPercent val="0"/>
          <c:showBubbleSize val="0"/>
        </c:dLbls>
        <c:smooth val="0"/>
        <c:axId val="628632911"/>
        <c:axId val="628638191"/>
      </c:lineChart>
      <c:catAx>
        <c:axId val="62863291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8638191"/>
        <c:crosses val="autoZero"/>
        <c:auto val="1"/>
        <c:lblAlgn val="ctr"/>
        <c:lblOffset val="100"/>
        <c:noMultiLvlLbl val="0"/>
      </c:catAx>
      <c:valAx>
        <c:axId val="62863819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Asset Value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409]#,##0_ ;[Red]\-[$$-409]#,##0\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86329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Degrading Asset value Over Time as per Diminishing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'Depreciation Calculator'!$D$25</c:f>
              <c:strCache>
                <c:ptCount val="1"/>
                <c:pt idx="0">
                  <c:v>Book Value</c:v>
                </c:pt>
              </c:strCache>
            </c:strRef>
          </c:tx>
          <c:spPr>
            <a:ln w="31750" cap="rnd">
              <a:solidFill>
                <a:schemeClr val="accent1"/>
              </a:solidFill>
              <a:round/>
            </a:ln>
            <a:effectLst>
              <a:outerShdw blurRad="40000" dist="23000" dir="5400000" rotWithShape="0">
                <a:srgbClr val="000000">
                  <a:alpha val="35000"/>
                </a:srgbClr>
              </a:outerShdw>
            </a:effectLst>
          </c:spPr>
          <c:marker>
            <c:symbol val="none"/>
          </c:marker>
          <c:cat>
            <c:numRef>
              <c:f>'Depreciation Calculator'!$B$26:$B$35</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'Depreciation Calculator'!$D$26:$D$35</c:f>
              <c:numCache>
                <c:formatCode>[$$-409]#,##0.00</c:formatCode>
                <c:ptCount val="10"/>
                <c:pt idx="0" formatCode="[$$-409]#,##0.00_ ;[Red]\-[$$-409]#,##0.00\ ">
                  <c:v>500000</c:v>
                </c:pt>
                <c:pt idx="1">
                  <c:v>397164.11736214074</c:v>
                </c:pt>
                <c:pt idx="2">
                  <c:v>315478.67224009661</c:v>
                </c:pt>
                <c:pt idx="3">
                  <c:v>250593.61681363612</c:v>
                </c:pt>
                <c:pt idx="4">
                  <c:v>199053.58527674861</c:v>
                </c:pt>
                <c:pt idx="5">
                  <c:v>158113.88300841895</c:v>
                </c:pt>
                <c:pt idx="6">
                  <c:v>125594.321575479</c:v>
                </c:pt>
                <c:pt idx="7">
                  <c:v>99763.115748443975</c:v>
                </c:pt>
                <c:pt idx="8">
                  <c:v>79244.659623055661</c:v>
                </c:pt>
                <c:pt idx="9">
                  <c:v>62946.270589708351</c:v>
                </c:pt>
              </c:numCache>
            </c:numRef>
          </c:val>
          <c:smooth val="0"/>
          <c:extLst>
            <c:ext xmlns:c16="http://schemas.microsoft.com/office/drawing/2014/chart" uri="{C3380CC4-5D6E-409C-BE32-E72D297353CC}">
              <c16:uniqueId val="{00000000-D8E2-4C5E-943F-9A4103011D6F}"/>
            </c:ext>
          </c:extLst>
        </c:ser>
        <c:dLbls>
          <c:showLegendKey val="0"/>
          <c:showVal val="0"/>
          <c:showCatName val="0"/>
          <c:showSerName val="0"/>
          <c:showPercent val="0"/>
          <c:showBubbleSize val="0"/>
        </c:dLbls>
        <c:smooth val="0"/>
        <c:axId val="628659791"/>
        <c:axId val="628656911"/>
      </c:lineChart>
      <c:catAx>
        <c:axId val="62865979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8656911"/>
        <c:crosses val="autoZero"/>
        <c:auto val="1"/>
        <c:lblAlgn val="ctr"/>
        <c:lblOffset val="100"/>
        <c:noMultiLvlLbl val="0"/>
      </c:catAx>
      <c:valAx>
        <c:axId val="62865691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Asset Value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409]#,##0_ ;[Red]\-[$$-409]#,##0\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86597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Year on Year Depreciation Amount as per Diminishing Balance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'Depreciation Calculator'!$C$25</c:f>
              <c:strCache>
                <c:ptCount val="1"/>
                <c:pt idx="0">
                  <c:v>Year on Year Depreciation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numRef>
              <c:f>'Depreciation Calculator'!$B$26:$B$35</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'Depreciation Calculator'!$C$26:$C$35</c:f>
              <c:numCache>
                <c:formatCode>[$$-409]#,##0.00</c:formatCode>
                <c:ptCount val="10"/>
                <c:pt idx="0">
                  <c:v>102835.88263785925</c:v>
                </c:pt>
                <c:pt idx="1">
                  <c:v>81685.445122044126</c:v>
                </c:pt>
                <c:pt idx="2">
                  <c:v>64885.05542646048</c:v>
                </c:pt>
                <c:pt idx="3">
                  <c:v>51540.031536887516</c:v>
                </c:pt>
                <c:pt idx="4">
                  <c:v>40939.70226832966</c:v>
                </c:pt>
                <c:pt idx="5">
                  <c:v>32519.561432939961</c:v>
                </c:pt>
                <c:pt idx="6">
                  <c:v>25831.205827035024</c:v>
                </c:pt>
                <c:pt idx="7">
                  <c:v>20518.456125388308</c:v>
                </c:pt>
                <c:pt idx="8">
                  <c:v>16298.389033347312</c:v>
                </c:pt>
                <c:pt idx="9">
                  <c:v>12946.27058970836</c:v>
                </c:pt>
              </c:numCache>
            </c:numRef>
          </c:val>
          <c:extLst>
            <c:ext xmlns:c16="http://schemas.microsoft.com/office/drawing/2014/chart" uri="{C3380CC4-5D6E-409C-BE32-E72D297353CC}">
              <c16:uniqueId val="{00000000-0BA3-4AB5-A390-7E55535B8D62}"/>
            </c:ext>
          </c:extLst>
        </c:ser>
        <c:dLbls>
          <c:showLegendKey val="0"/>
          <c:showVal val="0"/>
          <c:showCatName val="0"/>
          <c:showSerName val="0"/>
          <c:showPercent val="0"/>
          <c:showBubbleSize val="0"/>
        </c:dLbls>
        <c:gapWidth val="100"/>
        <c:overlap val="-24"/>
        <c:axId val="328325151"/>
        <c:axId val="328321311"/>
      </c:barChart>
      <c:catAx>
        <c:axId val="3283251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28321311"/>
        <c:crosses val="autoZero"/>
        <c:auto val="1"/>
        <c:lblAlgn val="ctr"/>
        <c:lblOffset val="100"/>
        <c:noMultiLvlLbl val="0"/>
      </c:catAx>
      <c:valAx>
        <c:axId val="328321311"/>
        <c:scaling>
          <c:orientation val="minMax"/>
        </c:scaling>
        <c:delete val="0"/>
        <c:axPos val="l"/>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2832515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a:outerShdw blurRad="50800" dist="38100" dir="2700000" algn="tl" rotWithShape="0">
        <a:prstClr val="black">
          <a:alpha val="40000"/>
        </a:prstClr>
      </a:outerShdw>
      <a:softEdge rad="0"/>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Year on Year Depreciation Amount as per Straight Line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'Depreciation Calculator'!$I$4</c:f>
              <c:strCache>
                <c:ptCount val="1"/>
                <c:pt idx="0">
                  <c:v>Depreciated Value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5D-4DC8-8780-726E74263B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'Depreciation Calculator'!$G$5:$G$14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'Depreciation Calculator'!$I$5:$I$14</c:f>
              <c:numCache>
                <c:formatCode>[$$-409]#,##0.00_ ;[Red]\-[$$-409]#,##0.00\ </c:formatCode>
                <c:ptCount val="10"/>
                <c:pt idx="0">
                  <c:v>45000</c:v>
                </c:pt>
                <c:pt idx="1">
                  <c:v>45000</c:v>
                </c:pt>
                <c:pt idx="2">
                  <c:v>45000</c:v>
                </c:pt>
                <c:pt idx="3">
                  <c:v>45000</c:v>
                </c:pt>
                <c:pt idx="4">
                  <c:v>45000</c:v>
                </c:pt>
                <c:pt idx="5">
                  <c:v>45000</c:v>
                </c:pt>
                <c:pt idx="6">
                  <c:v>45000</c:v>
                </c:pt>
                <c:pt idx="7">
                  <c:v>45000</c:v>
                </c:pt>
                <c:pt idx="8">
                  <c:v>45000</c:v>
                </c:pt>
                <c:pt idx="9">
                  <c:v>45000</c:v>
                </c:pt>
              </c:numCache>
            </c:numRef>
          </c:val>
          <c:extLst>
            <c:ext xmlns:c16="http://schemas.microsoft.com/office/drawing/2014/chart" uri="{C3380CC4-5D6E-409C-BE32-E72D297353CC}">
              <c16:uniqueId val="{00000000-B55D-4DC8-8780-726E74263B88}"/>
            </c:ext>
          </c:extLst>
        </c:ser>
        <c:dLbls>
          <c:showLegendKey val="0"/>
          <c:showVal val="0"/>
          <c:showCatName val="0"/>
          <c:showSerName val="0"/>
          <c:showPercent val="0"/>
          <c:showBubbleSize val="0"/>
        </c:dLbls>
        <c:gapWidth val="100"/>
        <c:overlap val="-24"/>
        <c:axId val="628606511"/>
        <c:axId val="628618991"/>
      </c:barChart>
      <c:catAx>
        <c:axId val="62860651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8618991"/>
        <c:crosses val="autoZero"/>
        <c:auto val="1"/>
        <c:lblAlgn val="ctr"/>
        <c:lblOffset val="100"/>
        <c:noMultiLvlLbl val="0"/>
      </c:catAx>
      <c:valAx>
        <c:axId val="628618991"/>
        <c:scaling>
          <c:orientation val="minMax"/>
        </c:scaling>
        <c:delete val="0"/>
        <c:axPos val="l"/>
        <c:numFmt formatCode="[$$-409]#,##0_ ;[Red]\-[$$-409]#,##0\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86065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361950</xdr:colOff>
      <xdr:row>1</xdr:row>
      <xdr:rowOff>28575</xdr:rowOff>
    </xdr:from>
    <xdr:to>
      <xdr:col>26</xdr:col>
      <xdr:colOff>247650</xdr:colOff>
      <xdr:row>5</xdr:row>
      <xdr:rowOff>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581150" y="219075"/>
          <a:ext cx="14516100" cy="7334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rgbClr val="7030A0"/>
              </a:solidFill>
              <a:effectLst/>
              <a:latin typeface="+mn-lt"/>
              <a:ea typeface="+mn-ea"/>
              <a:cs typeface="+mn-cs"/>
            </a:rPr>
            <a:t>     </a:t>
          </a:r>
          <a:r>
            <a:rPr lang="en-US" sz="3200" b="0" i="0">
              <a:solidFill>
                <a:srgbClr val="7030A0"/>
              </a:solidFill>
              <a:effectLst/>
              <a:latin typeface="+mn-lt"/>
              <a:ea typeface="+mn-ea"/>
              <a:cs typeface="+mn-cs"/>
            </a:rPr>
            <a:t>Comparative Analysis of Depreciation Methods: Straight-Line vs. Diminishing Balance</a:t>
          </a:r>
          <a:endParaRPr lang="en-US" sz="1100">
            <a:solidFill>
              <a:srgbClr val="7030A0"/>
            </a:solidFill>
          </a:endParaRPr>
        </a:p>
      </xdr:txBody>
    </xdr:sp>
    <xdr:clientData/>
  </xdr:twoCellAnchor>
  <xdr:twoCellAnchor>
    <xdr:from>
      <xdr:col>2</xdr:col>
      <xdr:colOff>314325</xdr:colOff>
      <xdr:row>7</xdr:row>
      <xdr:rowOff>57150</xdr:rowOff>
    </xdr:from>
    <xdr:to>
      <xdr:col>26</xdr:col>
      <xdr:colOff>438150</xdr:colOff>
      <xdr:row>36</xdr:row>
      <xdr:rowOff>152400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551454" y="1312209"/>
          <a:ext cx="14754225" cy="529477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7030A0"/>
            </a:solidFill>
            <a:effectLst/>
          </a:endParaRPr>
        </a:p>
        <a:p>
          <a:r>
            <a:rPr lang="en-US" sz="2000" b="1" i="0">
              <a:solidFill>
                <a:srgbClr val="7030A0"/>
              </a:solidFill>
              <a:effectLst/>
              <a:latin typeface="+mn-lt"/>
              <a:ea typeface="+mn-ea"/>
              <a:cs typeface="+mn-cs"/>
            </a:rPr>
            <a:t>Point</a:t>
          </a:r>
          <a:r>
            <a:rPr lang="en-US" sz="2000" b="1" i="0" baseline="0">
              <a:solidFill>
                <a:srgbClr val="7030A0"/>
              </a:solidFill>
              <a:effectLst/>
              <a:latin typeface="+mn-lt"/>
              <a:ea typeface="+mn-ea"/>
              <a:cs typeface="+mn-cs"/>
            </a:rPr>
            <a:t>s to remember before starting this project:-</a:t>
          </a:r>
          <a:endParaRPr lang="en-US" sz="2000">
            <a:solidFill>
              <a:srgbClr val="7030A0"/>
            </a:solidFill>
            <a:effectLst/>
          </a:endParaRPr>
        </a:p>
        <a:p>
          <a:r>
            <a:rPr lang="en-US" sz="2000" b="1" i="0" baseline="0">
              <a:solidFill>
                <a:srgbClr val="7030A0"/>
              </a:solidFill>
              <a:effectLst/>
              <a:latin typeface="+mn-lt"/>
              <a:ea typeface="+mn-ea"/>
              <a:cs typeface="+mn-cs"/>
            </a:rPr>
            <a:t>Purpose of the project is to give you the fundamental ideas about how Depreciation methods  and terminologies works in Excel so imp thing is to go through this documentation very carefully and understand the terms.</a:t>
          </a:r>
          <a:endParaRPr lang="en-US" sz="2000">
            <a:solidFill>
              <a:srgbClr val="7030A0"/>
            </a:solidFill>
            <a:effectLst/>
          </a:endParaRPr>
        </a:p>
        <a:p>
          <a:r>
            <a:rPr lang="en-US" sz="2000" b="1" i="0" baseline="0">
              <a:solidFill>
                <a:srgbClr val="7030A0"/>
              </a:solidFill>
              <a:effectLst/>
              <a:latin typeface="+mn-lt"/>
              <a:ea typeface="+mn-ea"/>
              <a:cs typeface="+mn-cs"/>
            </a:rPr>
            <a:t>1. In Project Worksheets you dataset is already prepared  so you have to find the values and answers for given functions for solution please go through this sheet </a:t>
          </a:r>
          <a:endParaRPr lang="en-US" sz="2000">
            <a:solidFill>
              <a:srgbClr val="7030A0"/>
            </a:solidFill>
            <a:effectLst/>
          </a:endParaRPr>
        </a:p>
        <a:p>
          <a:r>
            <a:rPr lang="en-US" sz="2000" b="1" i="0" baseline="0">
              <a:solidFill>
                <a:srgbClr val="7030A0"/>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a:solidFill>
              <a:srgbClr val="7030A0"/>
            </a:solidFill>
            <a:effectLst/>
          </a:endParaRPr>
        </a:p>
        <a:p>
          <a:r>
            <a:rPr lang="en-US" sz="2000" b="1" i="0" baseline="0">
              <a:solidFill>
                <a:srgbClr val="7030A0"/>
              </a:solidFill>
              <a:effectLst/>
              <a:latin typeface="+mn-lt"/>
              <a:ea typeface="+mn-ea"/>
              <a:cs typeface="+mn-cs"/>
            </a:rPr>
            <a:t>3. After doing the anlalysis Create a Summary report that what insights and analysis you have find while doing this project</a:t>
          </a:r>
          <a:endParaRPr lang="en-US" sz="2000">
            <a:solidFill>
              <a:srgbClr val="7030A0"/>
            </a:solidFill>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161926</xdr:colOff>
      <xdr:row>24</xdr:row>
      <xdr:rowOff>247651</xdr:rowOff>
    </xdr:from>
    <xdr:to>
      <xdr:col>12</xdr:col>
      <xdr:colOff>333376</xdr:colOff>
      <xdr:row>25</xdr:row>
      <xdr:rowOff>66676</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0934701" y="6686551"/>
          <a:ext cx="171450" cy="7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xdr:txBody>
    </xdr:sp>
    <xdr:clientData/>
  </xdr:twoCellAnchor>
  <xdr:twoCellAnchor>
    <xdr:from>
      <xdr:col>10</xdr:col>
      <xdr:colOff>1017905</xdr:colOff>
      <xdr:row>1</xdr:row>
      <xdr:rowOff>95885</xdr:rowOff>
    </xdr:from>
    <xdr:to>
      <xdr:col>24</xdr:col>
      <xdr:colOff>145415</xdr:colOff>
      <xdr:row>16</xdr:row>
      <xdr:rowOff>258445</xdr:rowOff>
    </xdr:to>
    <xdr:graphicFrame macro="">
      <xdr:nvGraphicFramePr>
        <xdr:cNvPr id="5" name="Chart 4">
          <a:extLst>
            <a:ext uri="{FF2B5EF4-FFF2-40B4-BE49-F238E27FC236}">
              <a16:creationId xmlns:a16="http://schemas.microsoft.com/office/drawing/2014/main" id="{D7FB303B-AF16-65EA-37B2-8B537208CA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30481</xdr:colOff>
      <xdr:row>17</xdr:row>
      <xdr:rowOff>229870</xdr:rowOff>
    </xdr:from>
    <xdr:to>
      <xdr:col>14</xdr:col>
      <xdr:colOff>381001</xdr:colOff>
      <xdr:row>34</xdr:row>
      <xdr:rowOff>228600</xdr:rowOff>
    </xdr:to>
    <xdr:graphicFrame macro="">
      <xdr:nvGraphicFramePr>
        <xdr:cNvPr id="6" name="Chart 5">
          <a:extLst>
            <a:ext uri="{FF2B5EF4-FFF2-40B4-BE49-F238E27FC236}">
              <a16:creationId xmlns:a16="http://schemas.microsoft.com/office/drawing/2014/main" id="{6D929729-85E4-35E9-AC89-0F22B101F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86360</xdr:colOff>
      <xdr:row>36</xdr:row>
      <xdr:rowOff>100330</xdr:rowOff>
    </xdr:from>
    <xdr:to>
      <xdr:col>14</xdr:col>
      <xdr:colOff>438150</xdr:colOff>
      <xdr:row>52</xdr:row>
      <xdr:rowOff>142875</xdr:rowOff>
    </xdr:to>
    <xdr:graphicFrame macro="">
      <xdr:nvGraphicFramePr>
        <xdr:cNvPr id="7" name="Chart 6">
          <a:extLst>
            <a:ext uri="{FF2B5EF4-FFF2-40B4-BE49-F238E27FC236}">
              <a16:creationId xmlns:a16="http://schemas.microsoft.com/office/drawing/2014/main" id="{52748E71-BF69-22A7-1389-621149DDA7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579120</xdr:colOff>
      <xdr:row>54</xdr:row>
      <xdr:rowOff>181610</xdr:rowOff>
    </xdr:from>
    <xdr:to>
      <xdr:col>14</xdr:col>
      <xdr:colOff>571500</xdr:colOff>
      <xdr:row>72</xdr:row>
      <xdr:rowOff>0</xdr:rowOff>
    </xdr:to>
    <xdr:graphicFrame macro="">
      <xdr:nvGraphicFramePr>
        <xdr:cNvPr id="8" name="Chart 7">
          <a:extLst>
            <a:ext uri="{FF2B5EF4-FFF2-40B4-BE49-F238E27FC236}">
              <a16:creationId xmlns:a16="http://schemas.microsoft.com/office/drawing/2014/main" id="{3F246261-902E-A25F-7BCC-6FEF5205E8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B11B70-9C64-4CA0-AD5E-02AFC795C071}" name="Table1" displayName="Table1" ref="G4:J14" totalsRowShown="0" headerRowDxfId="7" headerRowBorderDxfId="6" tableBorderDxfId="5" totalsRowBorderDxfId="4">
  <autoFilter ref="G4:J14" xr:uid="{53B11B70-9C64-4CA0-AD5E-02AFC795C071}">
    <filterColumn colId="0" hiddenButton="1"/>
    <filterColumn colId="1" hiddenButton="1"/>
    <filterColumn colId="2" hiddenButton="1"/>
    <filterColumn colId="3" hiddenButton="1"/>
  </autoFilter>
  <tableColumns count="4">
    <tableColumn id="1" xr3:uid="{33948723-A454-4E3D-8EB7-0B337D0C8ED4}" name="Year" dataDxfId="3"/>
    <tableColumn id="2" xr3:uid="{5B1E6246-9FB7-4949-953B-9384EAAFD02B}" name="Opening Book Value" dataDxfId="2">
      <calculatedColumnFormula>J4</calculatedColumnFormula>
    </tableColumn>
    <tableColumn id="3" xr3:uid="{39E077EC-F5F1-4226-9479-716217A4C802}" name="Depreciated Value" dataDxfId="1">
      <calculatedColumnFormula>H5-J5</calculatedColumnFormula>
    </tableColumn>
    <tableColumn id="4" xr3:uid="{EF960EED-ABE1-48CB-8F9E-E9340331655A}" name="Closing Book Value" dataDxfId="0">
      <calculatedColumnFormula>H5-$D$11</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B6" zoomScale="85" zoomScaleNormal="85" workbookViewId="0">
      <selection activeCell="AC14" sqref="AC14"/>
    </sheetView>
  </sheetViews>
  <sheetFormatPr defaultRowHeight="14.4" x14ac:dyDescent="0.3"/>
  <cols>
    <col min="1" max="1" width="9.10937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6"/>
  <sheetViews>
    <sheetView tabSelected="1" topLeftCell="A21" zoomScaleNormal="100" workbookViewId="0">
      <selection activeCell="F31" sqref="F31"/>
    </sheetView>
  </sheetViews>
  <sheetFormatPr defaultColWidth="8.6640625" defaultRowHeight="18" x14ac:dyDescent="0.3"/>
  <cols>
    <col min="1" max="1" width="3.109375" style="1" customWidth="1"/>
    <col min="2" max="2" width="12.5546875" style="1" customWidth="1"/>
    <col min="3" max="3" width="79.88671875" style="1" customWidth="1"/>
    <col min="4" max="4" width="19.109375" style="1" bestFit="1" customWidth="1"/>
    <col min="5" max="5" width="3.33203125" style="1" customWidth="1"/>
    <col min="6" max="6" width="14.77734375" style="1" bestFit="1" customWidth="1"/>
    <col min="7" max="7" width="10.21875" style="1" bestFit="1" customWidth="1"/>
    <col min="8" max="8" width="27.33203125" style="1" bestFit="1" customWidth="1"/>
    <col min="9" max="9" width="25.44140625" style="1" bestFit="1" customWidth="1"/>
    <col min="10" max="10" width="25.88671875" style="1" bestFit="1" customWidth="1"/>
    <col min="11" max="11" width="22.109375" style="1" customWidth="1"/>
    <col min="12" max="12" width="12.6640625" style="1" customWidth="1"/>
    <col min="13" max="16384" width="8.6640625" style="1"/>
  </cols>
  <sheetData>
    <row r="1" spans="1:11" ht="9.9" customHeight="1" thickBot="1" x14ac:dyDescent="0.35">
      <c r="A1" s="9"/>
      <c r="B1" s="9"/>
      <c r="C1" s="9"/>
      <c r="D1" s="9"/>
      <c r="E1" s="9"/>
    </row>
    <row r="2" spans="1:11" ht="37.799999999999997" thickTop="1" thickBot="1" x14ac:dyDescent="0.35">
      <c r="A2" s="9"/>
      <c r="B2" s="27"/>
      <c r="C2" s="25" t="s">
        <v>19</v>
      </c>
      <c r="D2" s="25"/>
      <c r="E2" s="9"/>
    </row>
    <row r="3" spans="1:11" ht="25.8" thickTop="1" thickBot="1" x14ac:dyDescent="0.35">
      <c r="A3" s="9"/>
      <c r="B3" s="28"/>
      <c r="C3" s="26" t="s">
        <v>8</v>
      </c>
      <c r="D3" s="26"/>
      <c r="E3" s="9"/>
    </row>
    <row r="4" spans="1:11" ht="19.2" thickTop="1" thickBot="1" x14ac:dyDescent="0.35">
      <c r="A4" s="9"/>
      <c r="B4" s="5"/>
      <c r="C4" s="5"/>
      <c r="D4" s="5"/>
      <c r="E4" s="9"/>
      <c r="G4" s="16" t="s">
        <v>7</v>
      </c>
      <c r="H4" s="17" t="s">
        <v>20</v>
      </c>
      <c r="I4" s="17" t="s">
        <v>22</v>
      </c>
      <c r="J4" s="18" t="s">
        <v>21</v>
      </c>
    </row>
    <row r="5" spans="1:11" ht="25.8" thickTop="1" thickBot="1" x14ac:dyDescent="0.35">
      <c r="A5" s="9"/>
      <c r="B5" s="31" t="s">
        <v>17</v>
      </c>
      <c r="C5" s="31"/>
      <c r="D5" s="31"/>
      <c r="E5" s="9"/>
      <c r="G5" s="14">
        <v>1</v>
      </c>
      <c r="H5" s="13">
        <v>500000</v>
      </c>
      <c r="I5" s="13">
        <f t="shared" ref="I5:I14" si="0">H5-J5</f>
        <v>45000</v>
      </c>
      <c r="J5" s="15">
        <f>H5-$D$11</f>
        <v>455000</v>
      </c>
      <c r="K5" s="12"/>
    </row>
    <row r="6" spans="1:11" ht="19.2" thickTop="1" thickBot="1" x14ac:dyDescent="0.35">
      <c r="A6" s="9"/>
      <c r="B6" s="29" t="s">
        <v>11</v>
      </c>
      <c r="C6" s="30"/>
      <c r="D6" s="10">
        <v>450000</v>
      </c>
      <c r="E6" s="9"/>
      <c r="G6" s="14">
        <v>2</v>
      </c>
      <c r="H6" s="13">
        <f t="shared" ref="H6:H14" si="1">J5</f>
        <v>455000</v>
      </c>
      <c r="I6" s="13">
        <f t="shared" si="0"/>
        <v>45000</v>
      </c>
      <c r="J6" s="15">
        <f t="shared" ref="J6:J14" si="2">H6-$D$11</f>
        <v>410000</v>
      </c>
      <c r="K6" s="12"/>
    </row>
    <row r="7" spans="1:11" ht="19.2" thickTop="1" thickBot="1" x14ac:dyDescent="0.35">
      <c r="A7" s="9"/>
      <c r="B7" s="29" t="s">
        <v>13</v>
      </c>
      <c r="C7" s="30"/>
      <c r="D7" s="10">
        <v>50000</v>
      </c>
      <c r="E7" s="9"/>
      <c r="G7" s="14">
        <v>3</v>
      </c>
      <c r="H7" s="13">
        <f t="shared" si="1"/>
        <v>410000</v>
      </c>
      <c r="I7" s="13">
        <f t="shared" si="0"/>
        <v>45000</v>
      </c>
      <c r="J7" s="15">
        <f t="shared" si="2"/>
        <v>365000</v>
      </c>
      <c r="K7" s="12"/>
    </row>
    <row r="8" spans="1:11" ht="19.2" thickTop="1" thickBot="1" x14ac:dyDescent="0.35">
      <c r="A8" s="9"/>
      <c r="B8" s="29" t="s">
        <v>0</v>
      </c>
      <c r="C8" s="30"/>
      <c r="D8" s="4">
        <f>SUM(D6:D7)</f>
        <v>500000</v>
      </c>
      <c r="E8" s="9"/>
      <c r="G8" s="14">
        <v>4</v>
      </c>
      <c r="H8" s="13">
        <f t="shared" si="1"/>
        <v>365000</v>
      </c>
      <c r="I8" s="13">
        <f t="shared" si="0"/>
        <v>45000</v>
      </c>
      <c r="J8" s="15">
        <f t="shared" si="2"/>
        <v>320000</v>
      </c>
      <c r="K8" s="12"/>
    </row>
    <row r="9" spans="1:11" ht="19.2" thickTop="1" thickBot="1" x14ac:dyDescent="0.35">
      <c r="A9" s="9"/>
      <c r="B9" s="29" t="s">
        <v>1</v>
      </c>
      <c r="C9" s="30"/>
      <c r="D9" s="10">
        <v>50000</v>
      </c>
      <c r="E9" s="9"/>
      <c r="G9" s="14">
        <v>5</v>
      </c>
      <c r="H9" s="13">
        <f t="shared" si="1"/>
        <v>320000</v>
      </c>
      <c r="I9" s="13">
        <f t="shared" si="0"/>
        <v>45000</v>
      </c>
      <c r="J9" s="15">
        <f t="shared" si="2"/>
        <v>275000</v>
      </c>
      <c r="K9" s="12"/>
    </row>
    <row r="10" spans="1:11" ht="19.2" thickTop="1" thickBot="1" x14ac:dyDescent="0.35">
      <c r="A10" s="9"/>
      <c r="B10" s="29" t="s">
        <v>2</v>
      </c>
      <c r="C10" s="30"/>
      <c r="D10" s="11">
        <v>10</v>
      </c>
      <c r="E10" s="9"/>
      <c r="G10" s="14">
        <v>6</v>
      </c>
      <c r="H10" s="13">
        <f t="shared" si="1"/>
        <v>275000</v>
      </c>
      <c r="I10" s="13">
        <f t="shared" si="0"/>
        <v>45000</v>
      </c>
      <c r="J10" s="15">
        <f>H10-$D$11</f>
        <v>230000</v>
      </c>
      <c r="K10" s="12"/>
    </row>
    <row r="11" spans="1:11" ht="19.2" thickTop="1" thickBot="1" x14ac:dyDescent="0.35">
      <c r="A11" s="9"/>
      <c r="B11" s="24" t="s">
        <v>9</v>
      </c>
      <c r="C11" s="24"/>
      <c r="D11" s="4">
        <f>IF(D8="", "", SLN($D$8,$D$9,$D$10))</f>
        <v>45000</v>
      </c>
      <c r="E11" s="9"/>
      <c r="G11" s="14">
        <v>7</v>
      </c>
      <c r="H11" s="13">
        <f t="shared" si="1"/>
        <v>230000</v>
      </c>
      <c r="I11" s="13">
        <f t="shared" si="0"/>
        <v>45000</v>
      </c>
      <c r="J11" s="15">
        <f t="shared" si="2"/>
        <v>185000</v>
      </c>
      <c r="K11" s="12"/>
    </row>
    <row r="12" spans="1:11" ht="19.2" thickTop="1" thickBot="1" x14ac:dyDescent="0.35">
      <c r="A12" s="9"/>
      <c r="B12" s="24" t="s">
        <v>12</v>
      </c>
      <c r="C12" s="24"/>
      <c r="D12" s="6">
        <f>IFERROR(D11/D8,"")</f>
        <v>0.09</v>
      </c>
      <c r="E12" s="9"/>
      <c r="G12" s="14">
        <v>8</v>
      </c>
      <c r="H12" s="13">
        <f t="shared" si="1"/>
        <v>185000</v>
      </c>
      <c r="I12" s="13">
        <f t="shared" si="0"/>
        <v>45000</v>
      </c>
      <c r="J12" s="15">
        <f>H12-$D$11</f>
        <v>140000</v>
      </c>
      <c r="K12" s="12"/>
    </row>
    <row r="13" spans="1:11" ht="19.2" thickTop="1" thickBot="1" x14ac:dyDescent="0.35">
      <c r="A13" s="9"/>
      <c r="B13" s="29" t="s">
        <v>5</v>
      </c>
      <c r="C13" s="30"/>
      <c r="D13" s="3">
        <f>IF(D8="", "", D11*D10)</f>
        <v>450000</v>
      </c>
      <c r="E13" s="9"/>
      <c r="G13" s="14">
        <v>9</v>
      </c>
      <c r="H13" s="13">
        <f t="shared" si="1"/>
        <v>140000</v>
      </c>
      <c r="I13" s="13">
        <f t="shared" si="0"/>
        <v>45000</v>
      </c>
      <c r="J13" s="15">
        <f t="shared" si="2"/>
        <v>95000</v>
      </c>
      <c r="K13" s="12"/>
    </row>
    <row r="14" spans="1:11" ht="19.2" thickTop="1" thickBot="1" x14ac:dyDescent="0.35">
      <c r="A14" s="9"/>
      <c r="B14" s="29" t="s">
        <v>4</v>
      </c>
      <c r="C14" s="30"/>
      <c r="D14" s="3">
        <f>IF(D8="", "", D8-D13)</f>
        <v>50000</v>
      </c>
      <c r="E14" s="9"/>
      <c r="G14" s="19">
        <v>10</v>
      </c>
      <c r="H14" s="20">
        <f t="shared" si="1"/>
        <v>95000</v>
      </c>
      <c r="I14" s="20">
        <f t="shared" si="0"/>
        <v>45000</v>
      </c>
      <c r="J14" s="21">
        <f t="shared" si="2"/>
        <v>50000</v>
      </c>
      <c r="K14" s="12"/>
    </row>
    <row r="15" spans="1:11" ht="19.2" thickTop="1" thickBot="1" x14ac:dyDescent="0.35">
      <c r="A15" s="9"/>
      <c r="B15" s="29" t="s">
        <v>6</v>
      </c>
      <c r="C15" s="30"/>
      <c r="D15" s="3">
        <f>IF(D8="", "", D9-D14)</f>
        <v>0</v>
      </c>
      <c r="E15" s="9"/>
      <c r="H15" s="12"/>
      <c r="I15" s="12"/>
      <c r="J15" s="12"/>
      <c r="K15" s="12"/>
    </row>
    <row r="16" spans="1:11" ht="19.2" thickTop="1" thickBot="1" x14ac:dyDescent="0.35">
      <c r="A16" s="9"/>
      <c r="B16" s="5"/>
      <c r="C16" s="5"/>
      <c r="D16" s="5"/>
      <c r="E16" s="9"/>
      <c r="H16" s="12"/>
      <c r="I16" s="12"/>
      <c r="J16" s="12"/>
      <c r="K16" s="12"/>
    </row>
    <row r="17" spans="1:11" ht="25.8" thickTop="1" thickBot="1" x14ac:dyDescent="0.35">
      <c r="A17" s="9"/>
      <c r="B17" s="31" t="s">
        <v>16</v>
      </c>
      <c r="C17" s="31"/>
      <c r="D17" s="31"/>
      <c r="E17" s="9"/>
      <c r="H17" s="12"/>
      <c r="I17" s="12"/>
      <c r="J17" s="12"/>
      <c r="K17" s="12"/>
    </row>
    <row r="18" spans="1:11" ht="18.899999999999999" customHeight="1" thickTop="1" thickBot="1" x14ac:dyDescent="0.35">
      <c r="A18" s="9"/>
      <c r="B18" s="24" t="s">
        <v>11</v>
      </c>
      <c r="C18" s="24"/>
      <c r="D18" s="10">
        <v>450000</v>
      </c>
      <c r="E18" s="9"/>
      <c r="H18" s="12"/>
      <c r="I18" s="12"/>
      <c r="J18" s="12"/>
      <c r="K18" s="12"/>
    </row>
    <row r="19" spans="1:11" ht="18.899999999999999" customHeight="1" thickTop="1" thickBot="1" x14ac:dyDescent="0.35">
      <c r="A19" s="9"/>
      <c r="B19" s="24" t="s">
        <v>14</v>
      </c>
      <c r="C19" s="24"/>
      <c r="D19" s="10">
        <v>50000</v>
      </c>
      <c r="E19" s="9"/>
      <c r="H19" s="12"/>
      <c r="I19" s="12"/>
      <c r="J19" s="12"/>
      <c r="K19" s="12"/>
    </row>
    <row r="20" spans="1:11" ht="18.899999999999999" customHeight="1" thickTop="1" thickBot="1" x14ac:dyDescent="0.35">
      <c r="A20" s="9"/>
      <c r="B20" s="24" t="s">
        <v>0</v>
      </c>
      <c r="C20" s="24"/>
      <c r="D20" s="4">
        <f>SUM(D18:D19)</f>
        <v>500000</v>
      </c>
      <c r="E20" s="9"/>
      <c r="H20" s="12"/>
      <c r="I20" s="12"/>
      <c r="J20" s="12"/>
      <c r="K20" s="12"/>
    </row>
    <row r="21" spans="1:11" ht="18.899999999999999" customHeight="1" thickTop="1" thickBot="1" x14ac:dyDescent="0.35">
      <c r="A21" s="9"/>
      <c r="B21" s="24" t="s">
        <v>1</v>
      </c>
      <c r="C21" s="24"/>
      <c r="D21" s="10">
        <v>50000</v>
      </c>
      <c r="E21" s="9"/>
      <c r="H21" s="12"/>
      <c r="I21" s="12"/>
      <c r="J21" s="12"/>
      <c r="K21" s="12"/>
    </row>
    <row r="22" spans="1:11" ht="18.899999999999999" customHeight="1" thickTop="1" thickBot="1" x14ac:dyDescent="0.35">
      <c r="A22" s="9"/>
      <c r="B22" s="24" t="s">
        <v>2</v>
      </c>
      <c r="C22" s="24"/>
      <c r="D22" s="11">
        <v>10</v>
      </c>
      <c r="E22" s="9"/>
    </row>
    <row r="23" spans="1:11" ht="18.899999999999999" customHeight="1" thickTop="1" thickBot="1" x14ac:dyDescent="0.35">
      <c r="A23" s="9"/>
      <c r="B23" s="22" t="s">
        <v>10</v>
      </c>
      <c r="C23" s="22"/>
      <c r="D23" s="6">
        <f>IF(D20="","",1-(D21/D20)^(1/D22))</f>
        <v>0.20567176527571851</v>
      </c>
      <c r="E23" s="9"/>
    </row>
    <row r="24" spans="1:11" ht="24" thickTop="1" thickBot="1" x14ac:dyDescent="0.35">
      <c r="A24" s="9"/>
      <c r="B24" s="23" t="s">
        <v>15</v>
      </c>
      <c r="C24" s="23"/>
      <c r="D24" s="23"/>
      <c r="E24" s="9"/>
    </row>
    <row r="25" spans="1:11" ht="19.2" thickTop="1" thickBot="1" x14ac:dyDescent="0.35">
      <c r="A25" s="9"/>
      <c r="B25" s="7" t="s">
        <v>7</v>
      </c>
      <c r="C25" s="7" t="s">
        <v>18</v>
      </c>
      <c r="D25" s="7" t="s">
        <v>3</v>
      </c>
      <c r="E25" s="9"/>
      <c r="F25" s="12"/>
    </row>
    <row r="26" spans="1:11" ht="19.2" thickTop="1" thickBot="1" x14ac:dyDescent="0.35">
      <c r="A26" s="9"/>
      <c r="B26" s="2">
        <v>1</v>
      </c>
      <c r="C26" s="8">
        <f>IFERROR(IF(D26&gt;$D$21, (D26*$D$23), ""),"")</f>
        <v>102835.88263785925</v>
      </c>
      <c r="D26" s="4">
        <v>500000</v>
      </c>
      <c r="E26" s="9"/>
      <c r="F26" s="32"/>
    </row>
    <row r="27" spans="1:11" ht="19.2" thickTop="1" thickBot="1" x14ac:dyDescent="0.35">
      <c r="A27" s="9"/>
      <c r="B27" s="2">
        <v>2</v>
      </c>
      <c r="C27" s="8">
        <f>IFERROR(IF(D27&gt;$D$21, (D27*$D$23), ""),"")</f>
        <v>81685.445122044126</v>
      </c>
      <c r="D27" s="8">
        <f t="shared" ref="D27:D45" si="3">IFERROR(D26-C26, "")</f>
        <v>397164.11736214074</v>
      </c>
      <c r="E27" s="9"/>
    </row>
    <row r="28" spans="1:11" ht="19.2" thickTop="1" thickBot="1" x14ac:dyDescent="0.35">
      <c r="A28" s="9"/>
      <c r="B28" s="2">
        <v>3</v>
      </c>
      <c r="C28" s="8">
        <f t="shared" ref="C27:C45" si="4">IFERROR(IF(D28&gt;$D$21, (D28*$D$23), ""),"")</f>
        <v>64885.05542646048</v>
      </c>
      <c r="D28" s="8">
        <f t="shared" si="3"/>
        <v>315478.67224009661</v>
      </c>
      <c r="E28" s="9"/>
    </row>
    <row r="29" spans="1:11" ht="19.2" thickTop="1" thickBot="1" x14ac:dyDescent="0.35">
      <c r="A29" s="9"/>
      <c r="B29" s="2">
        <v>4</v>
      </c>
      <c r="C29" s="8">
        <f t="shared" si="4"/>
        <v>51540.031536887516</v>
      </c>
      <c r="D29" s="8">
        <f t="shared" si="3"/>
        <v>250593.61681363612</v>
      </c>
      <c r="E29" s="9"/>
    </row>
    <row r="30" spans="1:11" ht="19.2" thickTop="1" thickBot="1" x14ac:dyDescent="0.35">
      <c r="A30" s="9"/>
      <c r="B30" s="2">
        <v>5</v>
      </c>
      <c r="C30" s="8">
        <f t="shared" si="4"/>
        <v>40939.70226832966</v>
      </c>
      <c r="D30" s="8">
        <f t="shared" si="3"/>
        <v>199053.58527674861</v>
      </c>
      <c r="E30" s="9"/>
    </row>
    <row r="31" spans="1:11" ht="19.2" thickTop="1" thickBot="1" x14ac:dyDescent="0.35">
      <c r="A31" s="9"/>
      <c r="B31" s="2">
        <v>6</v>
      </c>
      <c r="C31" s="8">
        <f t="shared" si="4"/>
        <v>32519.561432939961</v>
      </c>
      <c r="D31" s="8">
        <f t="shared" si="3"/>
        <v>158113.88300841895</v>
      </c>
      <c r="E31" s="9"/>
    </row>
    <row r="32" spans="1:11" ht="19.2" thickTop="1" thickBot="1" x14ac:dyDescent="0.35">
      <c r="A32" s="9"/>
      <c r="B32" s="2">
        <v>7</v>
      </c>
      <c r="C32" s="8">
        <f t="shared" si="4"/>
        <v>25831.205827035024</v>
      </c>
      <c r="D32" s="8">
        <f t="shared" si="3"/>
        <v>125594.321575479</v>
      </c>
      <c r="E32" s="9"/>
    </row>
    <row r="33" spans="1:5" ht="19.2" thickTop="1" thickBot="1" x14ac:dyDescent="0.35">
      <c r="A33" s="9"/>
      <c r="B33" s="2">
        <v>8</v>
      </c>
      <c r="C33" s="8">
        <f t="shared" si="4"/>
        <v>20518.456125388308</v>
      </c>
      <c r="D33" s="8">
        <f t="shared" si="3"/>
        <v>99763.115748443975</v>
      </c>
      <c r="E33" s="9"/>
    </row>
    <row r="34" spans="1:5" ht="19.2" thickTop="1" thickBot="1" x14ac:dyDescent="0.35">
      <c r="A34" s="9"/>
      <c r="B34" s="2">
        <v>9</v>
      </c>
      <c r="C34" s="8">
        <f t="shared" si="4"/>
        <v>16298.389033347312</v>
      </c>
      <c r="D34" s="8">
        <f t="shared" si="3"/>
        <v>79244.659623055661</v>
      </c>
      <c r="E34" s="9"/>
    </row>
    <row r="35" spans="1:5" ht="19.2" thickTop="1" thickBot="1" x14ac:dyDescent="0.35">
      <c r="A35" s="9"/>
      <c r="B35" s="2">
        <v>10</v>
      </c>
      <c r="C35" s="8">
        <f t="shared" si="4"/>
        <v>12946.27058970836</v>
      </c>
      <c r="D35" s="8">
        <f t="shared" si="3"/>
        <v>62946.270589708351</v>
      </c>
      <c r="E35" s="9"/>
    </row>
    <row r="36" spans="1:5" ht="19.2" thickTop="1" thickBot="1" x14ac:dyDescent="0.35">
      <c r="A36" s="9"/>
      <c r="B36" s="2"/>
      <c r="C36" s="8" t="str">
        <f t="shared" si="4"/>
        <v/>
      </c>
      <c r="D36" s="8">
        <f t="shared" si="3"/>
        <v>49999.999999999993</v>
      </c>
      <c r="E36" s="9"/>
    </row>
    <row r="37" spans="1:5" ht="19.2" thickTop="1" thickBot="1" x14ac:dyDescent="0.35">
      <c r="A37" s="9"/>
      <c r="B37" s="2"/>
      <c r="C37" s="8" t="str">
        <f t="shared" si="4"/>
        <v/>
      </c>
      <c r="D37" s="8" t="str">
        <f t="shared" si="3"/>
        <v/>
      </c>
      <c r="E37" s="9"/>
    </row>
    <row r="38" spans="1:5" ht="19.2" thickTop="1" thickBot="1" x14ac:dyDescent="0.35">
      <c r="A38" s="9"/>
      <c r="B38" s="2"/>
      <c r="C38" s="8" t="str">
        <f t="shared" si="4"/>
        <v/>
      </c>
      <c r="D38" s="8" t="str">
        <f t="shared" si="3"/>
        <v/>
      </c>
      <c r="E38" s="9"/>
    </row>
    <row r="39" spans="1:5" ht="19.2" thickTop="1" thickBot="1" x14ac:dyDescent="0.35">
      <c r="A39" s="9"/>
      <c r="B39" s="2"/>
      <c r="C39" s="8" t="str">
        <f t="shared" si="4"/>
        <v/>
      </c>
      <c r="D39" s="8" t="str">
        <f t="shared" si="3"/>
        <v/>
      </c>
      <c r="E39" s="9"/>
    </row>
    <row r="40" spans="1:5" ht="19.2" thickTop="1" thickBot="1" x14ac:dyDescent="0.35">
      <c r="A40" s="9"/>
      <c r="B40" s="2"/>
      <c r="C40" s="8" t="str">
        <f t="shared" si="4"/>
        <v/>
      </c>
      <c r="D40" s="8" t="str">
        <f t="shared" si="3"/>
        <v/>
      </c>
      <c r="E40" s="9"/>
    </row>
    <row r="41" spans="1:5" ht="19.2" thickTop="1" thickBot="1" x14ac:dyDescent="0.35">
      <c r="A41" s="9"/>
      <c r="B41" s="2"/>
      <c r="C41" s="8" t="str">
        <f t="shared" si="4"/>
        <v/>
      </c>
      <c r="D41" s="8" t="str">
        <f t="shared" si="3"/>
        <v/>
      </c>
      <c r="E41" s="9"/>
    </row>
    <row r="42" spans="1:5" ht="19.2" thickTop="1" thickBot="1" x14ac:dyDescent="0.35">
      <c r="A42" s="9"/>
      <c r="B42" s="2"/>
      <c r="C42" s="8" t="str">
        <f t="shared" si="4"/>
        <v/>
      </c>
      <c r="D42" s="8" t="str">
        <f t="shared" si="3"/>
        <v/>
      </c>
      <c r="E42" s="9"/>
    </row>
    <row r="43" spans="1:5" ht="19.2" thickTop="1" thickBot="1" x14ac:dyDescent="0.35">
      <c r="A43" s="9"/>
      <c r="B43" s="2"/>
      <c r="C43" s="8" t="str">
        <f t="shared" si="4"/>
        <v/>
      </c>
      <c r="D43" s="8" t="str">
        <f t="shared" si="3"/>
        <v/>
      </c>
      <c r="E43" s="9"/>
    </row>
    <row r="44" spans="1:5" ht="19.2" thickTop="1" thickBot="1" x14ac:dyDescent="0.35">
      <c r="A44" s="9"/>
      <c r="B44" s="2"/>
      <c r="C44" s="8" t="str">
        <f t="shared" si="4"/>
        <v/>
      </c>
      <c r="D44" s="8" t="str">
        <f t="shared" si="3"/>
        <v/>
      </c>
      <c r="E44" s="9"/>
    </row>
    <row r="45" spans="1:5" ht="19.2" thickTop="1" thickBot="1" x14ac:dyDescent="0.35">
      <c r="A45" s="9"/>
      <c r="B45" s="2"/>
      <c r="C45" s="8" t="str">
        <f t="shared" si="4"/>
        <v/>
      </c>
      <c r="D45" s="8" t="str">
        <f t="shared" si="3"/>
        <v/>
      </c>
      <c r="E45" s="9"/>
    </row>
    <row r="46" spans="1:5" ht="18.600000000000001" thickTop="1" x14ac:dyDescent="0.3">
      <c r="A46" s="9"/>
      <c r="B46" s="9"/>
      <c r="C46" s="9"/>
      <c r="D46" s="9"/>
      <c r="E46" s="9"/>
    </row>
  </sheetData>
  <mergeCells count="22">
    <mergeCell ref="B8:C8"/>
    <mergeCell ref="B9:C9"/>
    <mergeCell ref="B10:C10"/>
    <mergeCell ref="B17:D17"/>
    <mergeCell ref="B11:C11"/>
    <mergeCell ref="B13:C13"/>
    <mergeCell ref="B14:C14"/>
    <mergeCell ref="B15:C15"/>
    <mergeCell ref="C2:D2"/>
    <mergeCell ref="C3:D3"/>
    <mergeCell ref="B2:B3"/>
    <mergeCell ref="B6:C6"/>
    <mergeCell ref="B7:C7"/>
    <mergeCell ref="B5:D5"/>
    <mergeCell ref="B23:C23"/>
    <mergeCell ref="B24:D24"/>
    <mergeCell ref="B12:C12"/>
    <mergeCell ref="B18:C18"/>
    <mergeCell ref="B19:C19"/>
    <mergeCell ref="B20:C20"/>
    <mergeCell ref="B21:C21"/>
    <mergeCell ref="B22:C22"/>
  </mergeCells>
  <printOptions horizontalCentered="1" verticalCentered="1"/>
  <pageMargins left="0.19685039370078741" right="0.19685039370078741" top="0.19685039370078741" bottom="0.19685039370078741" header="0.31496062992125984" footer="0.31496062992125984"/>
  <pageSetup paperSize="9" orientation="portrait" horizontalDpi="300" r:id="rId1"/>
  <drawing r:id="rId2"/>
  <legacy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Depreciation Calculator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Fahim;ExcelDataPro</dc:creator>
  <cp:keywords>Depreciation Calculator Excel Template;www.ExcelDataPro.com</cp:keywords>
  <cp:lastModifiedBy>Jayesh Malviya</cp:lastModifiedBy>
  <cp:lastPrinted>2019-12-30T11:34:18Z</cp:lastPrinted>
  <dcterms:created xsi:type="dcterms:W3CDTF">2019-12-30T10:28:43Z</dcterms:created>
  <dcterms:modified xsi:type="dcterms:W3CDTF">2025-09-03T08:29:30Z</dcterms:modified>
</cp:coreProperties>
</file>